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aulo\Dropbox\Cursos\Alura\HTML -  CSS - JS\Arquivos Avulsos\"/>
    </mc:Choice>
  </mc:AlternateContent>
  <xr:revisionPtr revIDLastSave="0" documentId="13_ncr:1_{16805C0E-68F1-4AC9-B86B-E24EB229A4B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ilotos" sheetId="1" r:id="rId1"/>
    <sheet name="Planilha1" sheetId="3" r:id="rId2"/>
    <sheet name="Corridas" sheetId="2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5" i="1" l="1"/>
  <c r="D26" i="1"/>
  <c r="D27" i="1"/>
  <c r="D28" i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24" i="1"/>
  <c r="D23" i="1"/>
  <c r="D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22" i="1"/>
  <c r="Q22" i="2"/>
  <c r="Q23" i="2"/>
  <c r="Q24" i="2"/>
  <c r="Q25" i="2"/>
  <c r="Q26" i="2"/>
  <c r="Q27" i="2"/>
  <c r="Q21" i="2"/>
  <c r="R21" i="2"/>
  <c r="R22" i="2"/>
  <c r="R23" i="2"/>
  <c r="R24" i="2"/>
  <c r="R25" i="2"/>
  <c r="R26" i="2"/>
  <c r="R27" i="2"/>
  <c r="B22" i="2"/>
  <c r="S22" i="2" s="1"/>
  <c r="T22" i="2" s="1"/>
  <c r="U22" i="2" s="1"/>
  <c r="V22" i="2" s="1"/>
  <c r="W22" i="2" s="1"/>
  <c r="X22" i="2" s="1"/>
  <c r="Y22" i="2" s="1"/>
  <c r="Z22" i="2" s="1"/>
  <c r="AA22" i="2" s="1"/>
  <c r="AB22" i="2" s="1"/>
  <c r="AC22" i="2" s="1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B25" i="2"/>
  <c r="S25" i="2" s="1"/>
  <c r="T25" i="2" s="1"/>
  <c r="U25" i="2" s="1"/>
  <c r="V25" i="2" s="1"/>
  <c r="W25" i="2" s="1"/>
  <c r="X25" i="2" s="1"/>
  <c r="Y25" i="2" s="1"/>
  <c r="Z25" i="2" s="1"/>
  <c r="AA25" i="2" s="1"/>
  <c r="AB25" i="2" s="1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B26" i="2"/>
  <c r="S26" i="2" s="1"/>
  <c r="T26" i="2" s="1"/>
  <c r="U26" i="2" s="1"/>
  <c r="V26" i="2" s="1"/>
  <c r="W26" i="2" s="1"/>
  <c r="X26" i="2" s="1"/>
  <c r="Y26" i="2" s="1"/>
  <c r="Z26" i="2" s="1"/>
  <c r="AA26" i="2" s="1"/>
  <c r="AB26" i="2" s="1"/>
  <c r="AC26" i="2" s="1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B27" i="2"/>
  <c r="S27" i="2" s="1"/>
  <c r="T27" i="2" s="1"/>
  <c r="U27" i="2" s="1"/>
  <c r="V27" i="2" s="1"/>
  <c r="W27" i="2" s="1"/>
  <c r="X27" i="2" s="1"/>
  <c r="Y27" i="2" s="1"/>
  <c r="Z27" i="2" s="1"/>
  <c r="AA27" i="2" s="1"/>
  <c r="AB27" i="2" s="1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B21" i="2"/>
  <c r="U2" i="2"/>
  <c r="AD2" i="2"/>
  <c r="U3" i="2"/>
  <c r="V3" i="2"/>
  <c r="W3" i="2"/>
  <c r="X3" i="2"/>
  <c r="Y3" i="2"/>
  <c r="Z3" i="2"/>
  <c r="AA3" i="2"/>
  <c r="AB3" i="2"/>
  <c r="AC3" i="2"/>
  <c r="AD3" i="2"/>
  <c r="U4" i="2"/>
  <c r="V4" i="2"/>
  <c r="W4" i="2"/>
  <c r="X4" i="2"/>
  <c r="Y4" i="2"/>
  <c r="Z4" i="2"/>
  <c r="AA4" i="2"/>
  <c r="AB4" i="2"/>
  <c r="AC4" i="2"/>
  <c r="AD4" i="2"/>
  <c r="U5" i="2"/>
  <c r="V5" i="2"/>
  <c r="W5" i="2"/>
  <c r="X5" i="2"/>
  <c r="Y5" i="2"/>
  <c r="Z5" i="2"/>
  <c r="AA5" i="2"/>
  <c r="AB5" i="2"/>
  <c r="AC5" i="2"/>
  <c r="AD5" i="2"/>
  <c r="U6" i="2"/>
  <c r="V6" i="2"/>
  <c r="W6" i="2"/>
  <c r="X6" i="2"/>
  <c r="Y6" i="2"/>
  <c r="Z6" i="2"/>
  <c r="AA6" i="2"/>
  <c r="AB6" i="2"/>
  <c r="AC6" i="2"/>
  <c r="AD6" i="2"/>
  <c r="U7" i="2"/>
  <c r="V7" i="2"/>
  <c r="W7" i="2"/>
  <c r="X7" i="2"/>
  <c r="Y7" i="2"/>
  <c r="Z7" i="2"/>
  <c r="AA7" i="2"/>
  <c r="AB7" i="2"/>
  <c r="AC7" i="2"/>
  <c r="AD7" i="2"/>
  <c r="U8" i="2"/>
  <c r="V8" i="2"/>
  <c r="W8" i="2"/>
  <c r="X8" i="2"/>
  <c r="Y8" i="2"/>
  <c r="Z8" i="2"/>
  <c r="AA8" i="2"/>
  <c r="AB8" i="2"/>
  <c r="AC8" i="2"/>
  <c r="AD8" i="2"/>
  <c r="U9" i="2"/>
  <c r="V9" i="2"/>
  <c r="W9" i="2"/>
  <c r="X9" i="2"/>
  <c r="Y9" i="2"/>
  <c r="Z9" i="2"/>
  <c r="AA9" i="2"/>
  <c r="AB9" i="2"/>
  <c r="AC9" i="2"/>
  <c r="AD9" i="2"/>
  <c r="T3" i="2"/>
  <c r="T4" i="2"/>
  <c r="T5" i="2"/>
  <c r="T6" i="2"/>
  <c r="T7" i="2"/>
  <c r="T8" i="2"/>
  <c r="T9" i="2"/>
  <c r="T2" i="2"/>
  <c r="S3" i="2"/>
  <c r="S4" i="2"/>
  <c r="AF4" i="2" s="1"/>
  <c r="AG4" i="2" s="1"/>
  <c r="AH4" i="2" s="1"/>
  <c r="AI4" i="2" s="1"/>
  <c r="AJ4" i="2" s="1"/>
  <c r="S5" i="2"/>
  <c r="S6" i="2"/>
  <c r="AF6" i="2" s="1"/>
  <c r="AG6" i="2" s="1"/>
  <c r="AH6" i="2" s="1"/>
  <c r="AI6" i="2" s="1"/>
  <c r="AJ6" i="2" s="1"/>
  <c r="AK6" i="2" s="1"/>
  <c r="AL6" i="2" s="1"/>
  <c r="AM6" i="2" s="1"/>
  <c r="AN6" i="2" s="1"/>
  <c r="AO6" i="2" s="1"/>
  <c r="AP6" i="2" s="1"/>
  <c r="AQ6" i="2" s="1"/>
  <c r="S7" i="2"/>
  <c r="S8" i="2"/>
  <c r="S9" i="2"/>
  <c r="AF9" i="2" s="1"/>
  <c r="AG9" i="2" s="1"/>
  <c r="AH9" i="2" s="1"/>
  <c r="S2" i="2"/>
  <c r="AF2" i="2" s="1"/>
  <c r="AG2" i="2" s="1"/>
  <c r="AH2" i="2" s="1"/>
  <c r="AF3" i="2"/>
  <c r="AG3" i="2"/>
  <c r="AH3" i="2" s="1"/>
  <c r="AI3" i="2" s="1"/>
  <c r="AJ3" i="2" s="1"/>
  <c r="AK3" i="2" s="1"/>
  <c r="AL3" i="2" s="1"/>
  <c r="AM3" i="2" s="1"/>
  <c r="AN3" i="2" s="1"/>
  <c r="AO3" i="2" s="1"/>
  <c r="AP3" i="2" s="1"/>
  <c r="AQ3" i="2" s="1"/>
  <c r="AF5" i="2"/>
  <c r="AF7" i="2"/>
  <c r="AG7" i="2" s="1"/>
  <c r="AH7" i="2" s="1"/>
  <c r="AF8" i="2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" i="1"/>
  <c r="I2" i="2"/>
  <c r="J2" i="2" s="1"/>
  <c r="K2" i="2" s="1"/>
  <c r="L2" i="2" s="1"/>
  <c r="M2" i="2" s="1"/>
  <c r="N2" i="2" s="1"/>
  <c r="O2" i="2" s="1"/>
  <c r="P2" i="2" s="1"/>
  <c r="AC2" i="2" s="1"/>
  <c r="H22" i="1"/>
  <c r="S24" i="2" l="1"/>
  <c r="T24" i="2" s="1"/>
  <c r="U24" i="2" s="1"/>
  <c r="V24" i="2" s="1"/>
  <c r="W24" i="2" s="1"/>
  <c r="X24" i="2" s="1"/>
  <c r="Y24" i="2" s="1"/>
  <c r="Z24" i="2" s="1"/>
  <c r="AA24" i="2" s="1"/>
  <c r="AB24" i="2" s="1"/>
  <c r="S21" i="2"/>
  <c r="T21" i="2" s="1"/>
  <c r="U21" i="2" s="1"/>
  <c r="V21" i="2" s="1"/>
  <c r="W21" i="2" s="1"/>
  <c r="X21" i="2" s="1"/>
  <c r="Y21" i="2" s="1"/>
  <c r="Z21" i="2" s="1"/>
  <c r="AA21" i="2" s="1"/>
  <c r="AB21" i="2" s="1"/>
  <c r="AC21" i="2" s="1"/>
  <c r="AB2" i="2"/>
  <c r="X2" i="2"/>
  <c r="AA2" i="2"/>
  <c r="W2" i="2"/>
  <c r="AG8" i="2"/>
  <c r="AH8" i="2" s="1"/>
  <c r="AI8" i="2" s="1"/>
  <c r="AJ8" i="2" s="1"/>
  <c r="Z2" i="2"/>
  <c r="V2" i="2"/>
  <c r="AI2" i="2" s="1"/>
  <c r="AJ2" i="2" s="1"/>
  <c r="AK2" i="2" s="1"/>
  <c r="AL2" i="2" s="1"/>
  <c r="AM2" i="2" s="1"/>
  <c r="AN2" i="2" s="1"/>
  <c r="AO2" i="2" s="1"/>
  <c r="AP2" i="2" s="1"/>
  <c r="AQ2" i="2" s="1"/>
  <c r="Y2" i="2"/>
  <c r="S23" i="2"/>
  <c r="T23" i="2" s="1"/>
  <c r="U23" i="2" s="1"/>
  <c r="V23" i="2" s="1"/>
  <c r="W23" i="2" s="1"/>
  <c r="X23" i="2" s="1"/>
  <c r="Y23" i="2" s="1"/>
  <c r="Z23" i="2" s="1"/>
  <c r="AA23" i="2" s="1"/>
  <c r="AB23" i="2" s="1"/>
  <c r="AC25" i="2"/>
  <c r="AC24" i="2"/>
  <c r="AC27" i="2"/>
  <c r="AC23" i="2"/>
  <c r="AI7" i="2"/>
  <c r="AJ7" i="2" s="1"/>
  <c r="AK7" i="2" s="1"/>
  <c r="AL7" i="2" s="1"/>
  <c r="AM7" i="2" s="1"/>
  <c r="AN7" i="2" s="1"/>
  <c r="AO7" i="2" s="1"/>
  <c r="AP7" i="2" s="1"/>
  <c r="AQ7" i="2" s="1"/>
  <c r="AI9" i="2"/>
  <c r="AJ9" i="2" s="1"/>
  <c r="AK9" i="2" s="1"/>
  <c r="AL9" i="2" s="1"/>
  <c r="AM9" i="2" s="1"/>
  <c r="AN9" i="2" s="1"/>
  <c r="AO9" i="2" s="1"/>
  <c r="AP9" i="2" s="1"/>
  <c r="AQ9" i="2" s="1"/>
  <c r="AK4" i="2"/>
  <c r="AL4" i="2" s="1"/>
  <c r="AM4" i="2" s="1"/>
  <c r="AN4" i="2" s="1"/>
  <c r="AO4" i="2" s="1"/>
  <c r="AP4" i="2" s="1"/>
  <c r="AQ4" i="2" s="1"/>
  <c r="AK8" i="2"/>
  <c r="AL8" i="2" s="1"/>
  <c r="AM8" i="2" s="1"/>
  <c r="AN8" i="2" s="1"/>
  <c r="AO8" i="2" s="1"/>
  <c r="AP8" i="2" s="1"/>
  <c r="AQ8" i="2" s="1"/>
  <c r="AG5" i="2"/>
  <c r="AH5" i="2" s="1"/>
  <c r="AI5" i="2" s="1"/>
  <c r="AJ5" i="2" s="1"/>
  <c r="AK5" i="2" s="1"/>
  <c r="AL5" i="2" s="1"/>
  <c r="AM5" i="2" s="1"/>
  <c r="AN5" i="2" s="1"/>
  <c r="AO5" i="2" s="1"/>
  <c r="AP5" i="2" s="1"/>
  <c r="AQ5" i="2" s="1"/>
  <c r="I22" i="1"/>
</calcChain>
</file>

<file path=xl/sharedStrings.xml><?xml version="1.0" encoding="utf-8"?>
<sst xmlns="http://schemas.openxmlformats.org/spreadsheetml/2006/main" count="245" uniqueCount="111">
  <si>
    <t>POS</t>
  </si>
  <si>
    <t>DRIVER</t>
  </si>
  <si>
    <t>NATIONALITY</t>
  </si>
  <si>
    <t>CAR</t>
  </si>
  <si>
    <t>PTS</t>
  </si>
  <si>
    <t>Max Verstappen</t>
  </si>
  <si>
    <t>NED</t>
  </si>
  <si>
    <t>RED BULL RACING HONDA</t>
  </si>
  <si>
    <t>Lewis Hamilton</t>
  </si>
  <si>
    <t>GBR</t>
  </si>
  <si>
    <t>MERCEDES</t>
  </si>
  <si>
    <t>Sergio Perez</t>
  </si>
  <si>
    <t>MEX</t>
  </si>
  <si>
    <t>Lando Norris</t>
  </si>
  <si>
    <t>MCLAREN MERCEDES</t>
  </si>
  <si>
    <t>Valtteri Bottas</t>
  </si>
  <si>
    <t>FIN</t>
  </si>
  <si>
    <t>Charles Leclerc</t>
  </si>
  <si>
    <t>MON</t>
  </si>
  <si>
    <t>FERRARI</t>
  </si>
  <si>
    <t>Carlos Sainz</t>
  </si>
  <si>
    <t>ESP</t>
  </si>
  <si>
    <t>Pierre Gasly</t>
  </si>
  <si>
    <t>FRA</t>
  </si>
  <si>
    <t>ALPHATAURI HONDA</t>
  </si>
  <si>
    <t>Daniel Ricciardo</t>
  </si>
  <si>
    <t>AUS</t>
  </si>
  <si>
    <t>Sebastian Vettel</t>
  </si>
  <si>
    <t>GER</t>
  </si>
  <si>
    <t>ASTON MARTIN MERCEDES</t>
  </si>
  <si>
    <t>Fernando Alonso</t>
  </si>
  <si>
    <t>ALPINE RENAULT</t>
  </si>
  <si>
    <t>Esteban Ocon</t>
  </si>
  <si>
    <t>Lance Stroll</t>
  </si>
  <si>
    <t>CAN</t>
  </si>
  <si>
    <t>Yuki Tsunoda</t>
  </si>
  <si>
    <t>JPN</t>
  </si>
  <si>
    <t>Kimi Räikkönen</t>
  </si>
  <si>
    <t>ALFA ROMEO RACING FERRARI</t>
  </si>
  <si>
    <t>Antonio Giovinazzi</t>
  </si>
  <si>
    <t>ITA</t>
  </si>
  <si>
    <t>George Russell</t>
  </si>
  <si>
    <t>WILLIAMS MERCEDES</t>
  </si>
  <si>
    <t>Mick Schumacher</t>
  </si>
  <si>
    <t>HAAS FERRARI</t>
  </si>
  <si>
    <t>Nikita Mazepin</t>
  </si>
  <si>
    <t>RAF</t>
  </si>
  <si>
    <t>Nicholas Latifi</t>
  </si>
  <si>
    <t>RED BULL</t>
  </si>
  <si>
    <t>MCLAREN</t>
  </si>
  <si>
    <t>ALPHATAURI</t>
  </si>
  <si>
    <t>ASTON MARTIN</t>
  </si>
  <si>
    <t>ALPINE</t>
  </si>
  <si>
    <t>ALFA ROMEO</t>
  </si>
  <si>
    <t>VER</t>
  </si>
  <si>
    <t>Bahrain</t>
  </si>
  <si>
    <t>1:32:03.897</t>
  </si>
  <si>
    <t>Emilia Romagna</t>
  </si>
  <si>
    <t>2:02:34.598</t>
  </si>
  <si>
    <t>Portugal</t>
  </si>
  <si>
    <t>1:34:31.421</t>
  </si>
  <si>
    <t>Spain</t>
  </si>
  <si>
    <t>1:33:07.680</t>
  </si>
  <si>
    <t>Monaco</t>
  </si>
  <si>
    <t>1:38:56.820</t>
  </si>
  <si>
    <t>Azerbaijan</t>
  </si>
  <si>
    <t>2:13:36.410</t>
  </si>
  <si>
    <t>France</t>
  </si>
  <si>
    <t>1:27:25.770</t>
  </si>
  <si>
    <t>RAI</t>
  </si>
  <si>
    <t>GIO</t>
  </si>
  <si>
    <t>GAS</t>
  </si>
  <si>
    <t>TSU</t>
  </si>
  <si>
    <t>ALO</t>
  </si>
  <si>
    <t>OCO</t>
  </si>
  <si>
    <t>VET</t>
  </si>
  <si>
    <t>STR</t>
  </si>
  <si>
    <t>LEC</t>
  </si>
  <si>
    <t>SAI</t>
  </si>
  <si>
    <t>MAZ</t>
  </si>
  <si>
    <t>MSC</t>
  </si>
  <si>
    <t>RIC</t>
  </si>
  <si>
    <t>NOR</t>
  </si>
  <si>
    <t>HAM</t>
  </si>
  <si>
    <t>BOT</t>
  </si>
  <si>
    <t>PER</t>
  </si>
  <si>
    <t>LAT</t>
  </si>
  <si>
    <t>RUS</t>
  </si>
  <si>
    <t>num</t>
  </si>
  <si>
    <t>SIGLA</t>
  </si>
  <si>
    <t>EQUIPE</t>
  </si>
  <si>
    <t>GP</t>
  </si>
  <si>
    <t>DATA</t>
  </si>
  <si>
    <t>VOLTAS</t>
  </si>
  <si>
    <t>TEMPO</t>
  </si>
  <si>
    <t>POLI</t>
  </si>
  <si>
    <t>VENC</t>
  </si>
  <si>
    <t>M.VOLTA</t>
  </si>
  <si>
    <t>-</t>
  </si>
  <si>
    <t>fazer um somasevários</t>
  </si>
  <si>
    <t>&lt;tr&gt;</t>
  </si>
  <si>
    <t>&lt;/tr&gt;</t>
  </si>
  <si>
    <t>&lt;tr&gt;&lt;td&gt;GP&lt;/td&gt;&lt;td&gt;VENC&lt;/td&gt;&lt;td&gt;2&lt;/td&gt;&lt;td&gt;3&lt;/td&gt;&lt;td&gt;4&lt;/td&gt;&lt;td&gt;5&lt;/td&gt;&lt;td&gt;6&lt;/td&gt;&lt;td&gt;7&lt;/td&gt;&lt;td&gt;8&lt;/td&gt;&lt;td&gt;9&lt;/td&gt;&lt;td&gt;10&lt;/td&gt;&lt;td&gt;M.VOLTA&lt;/td&gt;&lt;/tr&gt;</t>
  </si>
  <si>
    <t>&lt;tr&gt;&lt;td&gt;Bahrain&lt;/td&gt;&lt;td&gt;HAM&lt;/td&gt;&lt;td&gt;VER&lt;/td&gt;&lt;td&gt;BOT&lt;/td&gt;&lt;td&gt;NOR&lt;/td&gt;&lt;td&gt;PER&lt;/td&gt;&lt;td&gt;LEC&lt;/td&gt;&lt;td&gt;RIC&lt;/td&gt;&lt;td&gt;SAI&lt;/td&gt;&lt;td&gt;TSU&lt;/td&gt;&lt;td&gt;STR&lt;/td&gt;&lt;td&gt;BOT&lt;/td&gt;&lt;/tr&gt;</t>
  </si>
  <si>
    <t>&lt;tr&gt;&lt;td&gt;Emilia Romagna&lt;/td&gt;&lt;td&gt;VER&lt;/td&gt;&lt;td&gt;HAM&lt;/td&gt;&lt;td&gt;NOR&lt;/td&gt;&lt;td&gt;LEC&lt;/td&gt;&lt;td&gt;SAI&lt;/td&gt;&lt;td&gt;RIC&lt;/td&gt;&lt;td&gt;GAS&lt;/td&gt;&lt;td&gt;STR&lt;/td&gt;&lt;td&gt;OCO&lt;/td&gt;&lt;td&gt;ALO&lt;/td&gt;&lt;td&gt;HAM&lt;/td&gt;&lt;/tr&gt;</t>
  </si>
  <si>
    <t>&lt;tr&gt;&lt;td&gt;Portugal&lt;/td&gt;&lt;td&gt;HAM&lt;/td&gt;&lt;td&gt;VER&lt;/td&gt;&lt;td&gt;BOT&lt;/td&gt;&lt;td&gt;PER&lt;/td&gt;&lt;td&gt;NOR&lt;/td&gt;&lt;td&gt;LEC&lt;/td&gt;&lt;td&gt;OCO&lt;/td&gt;&lt;td&gt;ALO&lt;/td&gt;&lt;td&gt;RIC&lt;/td&gt;&lt;td&gt;GAS&lt;/td&gt;&lt;td&gt;BOT&lt;/td&gt;&lt;/tr&gt;</t>
  </si>
  <si>
    <t>&lt;tr&gt;&lt;td&gt;Spain&lt;/td&gt;&lt;td&gt;HAM&lt;/td&gt;&lt;td&gt;VER&lt;/td&gt;&lt;td&gt;BOT&lt;/td&gt;&lt;td&gt;LEC&lt;/td&gt;&lt;td&gt;PER&lt;/td&gt;&lt;td&gt;RIC&lt;/td&gt;&lt;td&gt;SAI&lt;/td&gt;&lt;td&gt;NOR&lt;/td&gt;&lt;td&gt;OCO&lt;/td&gt;&lt;td&gt;GAS&lt;/td&gt;&lt;td&gt;VER&lt;/td&gt;&lt;/tr&gt;</t>
  </si>
  <si>
    <t>&lt;tr&gt;&lt;td&gt;Monaco&lt;/td&gt;&lt;td&gt;VER&lt;/td&gt;&lt;td&gt;SAI&lt;/td&gt;&lt;td&gt;NOR&lt;/td&gt;&lt;td&gt;PER&lt;/td&gt;&lt;td&gt;VET&lt;/td&gt;&lt;td&gt;GAS&lt;/td&gt;&lt;td&gt;HAM&lt;/td&gt;&lt;td&gt;STR&lt;/td&gt;&lt;td&gt;OCO&lt;/td&gt;&lt;td&gt;GIO&lt;/td&gt;&lt;td&gt;HAM&lt;/td&gt;&lt;/tr&gt;</t>
  </si>
  <si>
    <t>&lt;tr&gt;&lt;td&gt;Azerbaijan&lt;/td&gt;&lt;td&gt;PER&lt;/td&gt;&lt;td&gt;VET&lt;/td&gt;&lt;td&gt;GAS&lt;/td&gt;&lt;td&gt;LEC&lt;/td&gt;&lt;td&gt;NOR&lt;/td&gt;&lt;td&gt;ALO&lt;/td&gt;&lt;td&gt;TSU&lt;/td&gt;&lt;td&gt;SAI&lt;/td&gt;&lt;td&gt;RIC&lt;/td&gt;&lt;td&gt;RAI&lt;/td&gt;&lt;td&gt;-&lt;/td&gt;&lt;/tr&gt;</t>
  </si>
  <si>
    <t>&lt;tr&gt;&lt;td&gt;France&lt;/td&gt;&lt;td&gt;VER&lt;/td&gt;&lt;td&gt;HAM&lt;/td&gt;&lt;td&gt;PER&lt;/td&gt;&lt;td&gt;BOT&lt;/td&gt;&lt;td&gt;NOR&lt;/td&gt;&lt;td&gt;RIC&lt;/td&gt;&lt;td&gt;GAS&lt;/td&gt;&lt;td&gt;ALO&lt;/td&gt;&lt;td&gt;VET&lt;/td&gt;&lt;td&gt;STR&lt;/td&gt;&lt;td&gt;VER&lt;/td&gt;&lt;/tr&gt;</t>
  </si>
  <si>
    <t>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</si>
</sst>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0" fontId="0" fillId="0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formula1.com/en/results.html/2021/drivers/CARSAI01/carlos-sainz.html" TargetMode="External"/><Relationship Id="rId18" Type="http://schemas.openxmlformats.org/officeDocument/2006/relationships/hyperlink" Target="https://www.formula1.com/en/results.html/2021/team/mclaren_mercedes.html" TargetMode="External"/><Relationship Id="rId26" Type="http://schemas.openxmlformats.org/officeDocument/2006/relationships/hyperlink" Target="https://www.formula1.com/en/results.html/2021/team/aston_martin_mercedes.html" TargetMode="External"/><Relationship Id="rId39" Type="http://schemas.openxmlformats.org/officeDocument/2006/relationships/hyperlink" Target="https://www.formula1.com/en/results.html/2021/drivers/NICLAF01/nicholas-latifi.html" TargetMode="External"/><Relationship Id="rId21" Type="http://schemas.openxmlformats.org/officeDocument/2006/relationships/hyperlink" Target="https://www.formula1.com/en/results.html/2021/drivers/FERALO01/fernando-alonso.html" TargetMode="External"/><Relationship Id="rId34" Type="http://schemas.openxmlformats.org/officeDocument/2006/relationships/hyperlink" Target="https://www.formula1.com/en/results.html/2021/team/williams_mercedes.html" TargetMode="External"/><Relationship Id="rId42" Type="http://schemas.openxmlformats.org/officeDocument/2006/relationships/hyperlink" Target="https://www.formula1.com/en/results.html/2021/team/mercedes.html" TargetMode="External"/><Relationship Id="rId47" Type="http://schemas.openxmlformats.org/officeDocument/2006/relationships/hyperlink" Target="https://www.formula1.com/en/results.html/2021/team/ferrari.html" TargetMode="External"/><Relationship Id="rId50" Type="http://schemas.openxmlformats.org/officeDocument/2006/relationships/hyperlink" Target="https://www.formula1.com/en/results.html/2021/team/aston_martin_mercedes.html" TargetMode="External"/><Relationship Id="rId55" Type="http://schemas.openxmlformats.org/officeDocument/2006/relationships/hyperlink" Target="https://www.formula1.com/en/results.html/2021/team/alfa_romeo_racing_ferrari.html" TargetMode="External"/><Relationship Id="rId7" Type="http://schemas.openxmlformats.org/officeDocument/2006/relationships/hyperlink" Target="https://www.formula1.com/en/results.html/2021/drivers/LANNOR01/lando-norris.html" TargetMode="External"/><Relationship Id="rId2" Type="http://schemas.openxmlformats.org/officeDocument/2006/relationships/hyperlink" Target="https://www.formula1.com/en/results.html/2021/team/red_bull_racing_honda.html" TargetMode="External"/><Relationship Id="rId16" Type="http://schemas.openxmlformats.org/officeDocument/2006/relationships/hyperlink" Target="https://www.formula1.com/en/results.html/2021/team/alphatauri_honda.html" TargetMode="External"/><Relationship Id="rId29" Type="http://schemas.openxmlformats.org/officeDocument/2006/relationships/hyperlink" Target="https://www.formula1.com/en/results.html/2021/drivers/KIMRAI01/kimi-raikkonen.html" TargetMode="External"/><Relationship Id="rId11" Type="http://schemas.openxmlformats.org/officeDocument/2006/relationships/hyperlink" Target="https://www.formula1.com/en/results.html/2021/drivers/CHALEC01/charles-leclerc.html" TargetMode="External"/><Relationship Id="rId24" Type="http://schemas.openxmlformats.org/officeDocument/2006/relationships/hyperlink" Target="https://www.formula1.com/en/results.html/2021/team/alpine_renault.html" TargetMode="External"/><Relationship Id="rId32" Type="http://schemas.openxmlformats.org/officeDocument/2006/relationships/hyperlink" Target="https://www.formula1.com/en/results.html/2021/team/alfa_romeo_racing_ferrari.html" TargetMode="External"/><Relationship Id="rId37" Type="http://schemas.openxmlformats.org/officeDocument/2006/relationships/hyperlink" Target="https://www.formula1.com/en/results.html/2021/drivers/NIKMAZ01/nikita-mazepin.html" TargetMode="External"/><Relationship Id="rId40" Type="http://schemas.openxmlformats.org/officeDocument/2006/relationships/hyperlink" Target="https://www.formula1.com/en/results.html/2021/team/williams_mercedes.html" TargetMode="External"/><Relationship Id="rId45" Type="http://schemas.openxmlformats.org/officeDocument/2006/relationships/hyperlink" Target="https://www.formula1.com/en/results.html/2021/team/mercedes.html" TargetMode="External"/><Relationship Id="rId53" Type="http://schemas.openxmlformats.org/officeDocument/2006/relationships/hyperlink" Target="https://www.formula1.com/en/results.html/2021/team/alphatauri_honda.html" TargetMode="External"/><Relationship Id="rId58" Type="http://schemas.openxmlformats.org/officeDocument/2006/relationships/hyperlink" Target="https://www.formula1.com/en/results.html/2021/team/haas_ferrari.html" TargetMode="External"/><Relationship Id="rId5" Type="http://schemas.openxmlformats.org/officeDocument/2006/relationships/hyperlink" Target="https://www.formula1.com/en/results.html/2021/drivers/SERPER01/sergio-perez.html" TargetMode="External"/><Relationship Id="rId61" Type="http://schemas.openxmlformats.org/officeDocument/2006/relationships/printerSettings" Target="../printerSettings/printerSettings1.bin"/><Relationship Id="rId19" Type="http://schemas.openxmlformats.org/officeDocument/2006/relationships/hyperlink" Target="https://www.formula1.com/en/results.html/2021/drivers/SEBVET01/sebastian-vettel.html" TargetMode="External"/><Relationship Id="rId14" Type="http://schemas.openxmlformats.org/officeDocument/2006/relationships/hyperlink" Target="https://www.formula1.com/en/results.html/2021/team/ferrari.html" TargetMode="External"/><Relationship Id="rId22" Type="http://schemas.openxmlformats.org/officeDocument/2006/relationships/hyperlink" Target="https://www.formula1.com/en/results.html/2021/team/alpine_renault.html" TargetMode="External"/><Relationship Id="rId27" Type="http://schemas.openxmlformats.org/officeDocument/2006/relationships/hyperlink" Target="https://www.formula1.com/en/results.html/2021/drivers/YUKTSU01/yuki-tsunoda.html" TargetMode="External"/><Relationship Id="rId30" Type="http://schemas.openxmlformats.org/officeDocument/2006/relationships/hyperlink" Target="https://www.formula1.com/en/results.html/2021/team/alfa_romeo_racing_ferrari.html" TargetMode="External"/><Relationship Id="rId35" Type="http://schemas.openxmlformats.org/officeDocument/2006/relationships/hyperlink" Target="https://www.formula1.com/en/results.html/2021/drivers/MICSCH02/mick-schumacher.html" TargetMode="External"/><Relationship Id="rId43" Type="http://schemas.openxmlformats.org/officeDocument/2006/relationships/hyperlink" Target="https://www.formula1.com/en/results.html/2021/team/red_bull_racing_honda.html" TargetMode="External"/><Relationship Id="rId48" Type="http://schemas.openxmlformats.org/officeDocument/2006/relationships/hyperlink" Target="https://www.formula1.com/en/results.html/2021/team/alphatauri_honda.html" TargetMode="External"/><Relationship Id="rId56" Type="http://schemas.openxmlformats.org/officeDocument/2006/relationships/hyperlink" Target="https://www.formula1.com/en/results.html/2021/team/williams_mercedes.html" TargetMode="External"/><Relationship Id="rId8" Type="http://schemas.openxmlformats.org/officeDocument/2006/relationships/hyperlink" Target="https://www.formula1.com/en/results.html/2021/team/mclaren_mercedes.html" TargetMode="External"/><Relationship Id="rId51" Type="http://schemas.openxmlformats.org/officeDocument/2006/relationships/hyperlink" Target="https://www.formula1.com/en/results.html/2021/team/alpine_renault.html" TargetMode="External"/><Relationship Id="rId3" Type="http://schemas.openxmlformats.org/officeDocument/2006/relationships/hyperlink" Target="https://www.formula1.com/en/results.html/2021/drivers/LEWHAM01/lewis-hamilton.html" TargetMode="External"/><Relationship Id="rId12" Type="http://schemas.openxmlformats.org/officeDocument/2006/relationships/hyperlink" Target="https://www.formula1.com/en/results.html/2021/team/ferrari.html" TargetMode="External"/><Relationship Id="rId17" Type="http://schemas.openxmlformats.org/officeDocument/2006/relationships/hyperlink" Target="https://www.formula1.com/en/results.html/2021/drivers/DANRIC01/daniel-ricciardo.html" TargetMode="External"/><Relationship Id="rId25" Type="http://schemas.openxmlformats.org/officeDocument/2006/relationships/hyperlink" Target="https://www.formula1.com/en/results.html/2021/drivers/LANSTR01/lance-stroll.html" TargetMode="External"/><Relationship Id="rId33" Type="http://schemas.openxmlformats.org/officeDocument/2006/relationships/hyperlink" Target="https://www.formula1.com/en/results.html/2021/drivers/GEORUS01/george-russell.html" TargetMode="External"/><Relationship Id="rId38" Type="http://schemas.openxmlformats.org/officeDocument/2006/relationships/hyperlink" Target="https://www.formula1.com/en/results.html/2021/team/haas_ferrari.html" TargetMode="External"/><Relationship Id="rId46" Type="http://schemas.openxmlformats.org/officeDocument/2006/relationships/hyperlink" Target="https://www.formula1.com/en/results.html/2021/team/ferrari.html" TargetMode="External"/><Relationship Id="rId59" Type="http://schemas.openxmlformats.org/officeDocument/2006/relationships/hyperlink" Target="https://www.formula1.com/en/results.html/2021/team/williams_mercedes.html" TargetMode="External"/><Relationship Id="rId20" Type="http://schemas.openxmlformats.org/officeDocument/2006/relationships/hyperlink" Target="https://www.formula1.com/en/results.html/2021/team/aston_martin_mercedes.html" TargetMode="External"/><Relationship Id="rId41" Type="http://schemas.openxmlformats.org/officeDocument/2006/relationships/hyperlink" Target="https://www.formula1.com/en/results.html/2021/team/red_bull_racing_honda.html" TargetMode="External"/><Relationship Id="rId54" Type="http://schemas.openxmlformats.org/officeDocument/2006/relationships/hyperlink" Target="https://www.formula1.com/en/results.html/2021/team/alfa_romeo_racing_ferrari.html" TargetMode="External"/><Relationship Id="rId1" Type="http://schemas.openxmlformats.org/officeDocument/2006/relationships/hyperlink" Target="https://www.formula1.com/en/results.html/2021/drivers/MAXVER01/max-verstappen.html" TargetMode="External"/><Relationship Id="rId6" Type="http://schemas.openxmlformats.org/officeDocument/2006/relationships/hyperlink" Target="https://www.formula1.com/en/results.html/2021/team/red_bull_racing_honda.html" TargetMode="External"/><Relationship Id="rId15" Type="http://schemas.openxmlformats.org/officeDocument/2006/relationships/hyperlink" Target="https://www.formula1.com/en/results.html/2021/drivers/PIEGAS01/pierre-gasly.html" TargetMode="External"/><Relationship Id="rId23" Type="http://schemas.openxmlformats.org/officeDocument/2006/relationships/hyperlink" Target="https://www.formula1.com/en/results.html/2021/drivers/ESTOCO01/esteban-ocon.html" TargetMode="External"/><Relationship Id="rId28" Type="http://schemas.openxmlformats.org/officeDocument/2006/relationships/hyperlink" Target="https://www.formula1.com/en/results.html/2021/team/alphatauri_honda.html" TargetMode="External"/><Relationship Id="rId36" Type="http://schemas.openxmlformats.org/officeDocument/2006/relationships/hyperlink" Target="https://www.formula1.com/en/results.html/2021/team/haas_ferrari.html" TargetMode="External"/><Relationship Id="rId49" Type="http://schemas.openxmlformats.org/officeDocument/2006/relationships/hyperlink" Target="https://www.formula1.com/en/results.html/2021/team/mclaren_mercedes.html" TargetMode="External"/><Relationship Id="rId57" Type="http://schemas.openxmlformats.org/officeDocument/2006/relationships/hyperlink" Target="https://www.formula1.com/en/results.html/2021/team/haas_ferrari.html" TargetMode="External"/><Relationship Id="rId10" Type="http://schemas.openxmlformats.org/officeDocument/2006/relationships/hyperlink" Target="https://www.formula1.com/en/results.html/2021/team/mercedes.html" TargetMode="External"/><Relationship Id="rId31" Type="http://schemas.openxmlformats.org/officeDocument/2006/relationships/hyperlink" Target="https://www.formula1.com/en/results.html/2021/drivers/ANTGIO01/antonio-giovinazzi.html" TargetMode="External"/><Relationship Id="rId44" Type="http://schemas.openxmlformats.org/officeDocument/2006/relationships/hyperlink" Target="https://www.formula1.com/en/results.html/2021/team/mclaren_mercedes.html" TargetMode="External"/><Relationship Id="rId52" Type="http://schemas.openxmlformats.org/officeDocument/2006/relationships/hyperlink" Target="https://www.formula1.com/en/results.html/2021/team/aston_martin_mercedes.html" TargetMode="External"/><Relationship Id="rId60" Type="http://schemas.openxmlformats.org/officeDocument/2006/relationships/hyperlink" Target="https://www.formula1.com/en/results.html/2021/team/alpine_renault.html" TargetMode="External"/><Relationship Id="rId4" Type="http://schemas.openxmlformats.org/officeDocument/2006/relationships/hyperlink" Target="https://www.formula1.com/en/results.html/2021/team/mercedes.html" TargetMode="External"/><Relationship Id="rId9" Type="http://schemas.openxmlformats.org/officeDocument/2006/relationships/hyperlink" Target="https://www.formula1.com/en/results.html/2021/drivers/VALBOT01/valtteri-bottas.html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https://www.formula1.com/en/results.html/2021/races/1066/portugal/race-result.html" TargetMode="External"/><Relationship Id="rId7" Type="http://schemas.openxmlformats.org/officeDocument/2006/relationships/hyperlink" Target="https://www.formula1.com/en/results.html/2021/races/1070/france/race-result.html" TargetMode="External"/><Relationship Id="rId2" Type="http://schemas.openxmlformats.org/officeDocument/2006/relationships/hyperlink" Target="https://www.formula1.com/en/results.html/2021/races/1065/italy/race-result.html" TargetMode="External"/><Relationship Id="rId1" Type="http://schemas.openxmlformats.org/officeDocument/2006/relationships/hyperlink" Target="https://www.formula1.com/en/results.html/2021/races/1064/bahrain/race-result.html" TargetMode="External"/><Relationship Id="rId6" Type="http://schemas.openxmlformats.org/officeDocument/2006/relationships/hyperlink" Target="https://www.formula1.com/en/results.html/2021/races/1068/azerbaijan/race-result.html" TargetMode="External"/><Relationship Id="rId5" Type="http://schemas.openxmlformats.org/officeDocument/2006/relationships/hyperlink" Target="https://www.formula1.com/en/results.html/2021/races/1067/monaco/race-result.html" TargetMode="External"/><Relationship Id="rId4" Type="http://schemas.openxmlformats.org/officeDocument/2006/relationships/hyperlink" Target="https://www.formula1.com/en/results.html/2021/races/1086/spain/race-result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41"/>
  <sheetViews>
    <sheetView tabSelected="1" workbookViewId="0">
      <selection activeCell="D42" sqref="D42"/>
    </sheetView>
  </sheetViews>
  <sheetFormatPr defaultRowHeight="15" x14ac:dyDescent="0.25"/>
  <cols>
    <col min="1" max="1" width="4.5703125" bestFit="1" customWidth="1"/>
    <col min="2" max="2" width="17.85546875" bestFit="1" customWidth="1"/>
    <col min="3" max="3" width="6.140625" bestFit="1" customWidth="1"/>
    <col min="4" max="4" width="5" bestFit="1" customWidth="1"/>
    <col min="5" max="5" width="13.140625" bestFit="1" customWidth="1"/>
    <col min="6" max="6" width="28.140625" bestFit="1" customWidth="1"/>
    <col min="7" max="7" width="28.140625" customWidth="1"/>
    <col min="8" max="8" width="4.140625" bestFit="1" customWidth="1"/>
  </cols>
  <sheetData>
    <row r="1" spans="1:9" x14ac:dyDescent="0.25">
      <c r="A1" s="5" t="s">
        <v>0</v>
      </c>
      <c r="B1" s="5" t="s">
        <v>1</v>
      </c>
      <c r="C1" s="5" t="s">
        <v>89</v>
      </c>
      <c r="D1" s="5" t="s">
        <v>88</v>
      </c>
      <c r="E1" s="5" t="s">
        <v>2</v>
      </c>
      <c r="F1" s="5" t="s">
        <v>3</v>
      </c>
      <c r="G1" s="5" t="s">
        <v>90</v>
      </c>
      <c r="H1" s="6" t="s">
        <v>4</v>
      </c>
    </row>
    <row r="2" spans="1:9" x14ac:dyDescent="0.25">
      <c r="A2" s="3">
        <v>1</v>
      </c>
      <c r="B2" s="1" t="s">
        <v>5</v>
      </c>
      <c r="C2" s="3" t="s">
        <v>54</v>
      </c>
      <c r="D2" s="3">
        <v>33</v>
      </c>
      <c r="E2" s="3" t="s">
        <v>6</v>
      </c>
      <c r="F2" s="1" t="s">
        <v>7</v>
      </c>
      <c r="G2" s="1" t="s">
        <v>48</v>
      </c>
      <c r="H2" s="2">
        <v>131</v>
      </c>
      <c r="I2">
        <f>SUMIF(Corridas!$G$3:$Q$9,C2,Corridas!$G$12:$Q$18)</f>
        <v>131</v>
      </c>
    </row>
    <row r="3" spans="1:9" x14ac:dyDescent="0.25">
      <c r="A3" s="3">
        <v>2</v>
      </c>
      <c r="B3" s="1" t="s">
        <v>8</v>
      </c>
      <c r="C3" s="3" t="s">
        <v>83</v>
      </c>
      <c r="D3" s="3">
        <v>44</v>
      </c>
      <c r="E3" s="3" t="s">
        <v>9</v>
      </c>
      <c r="F3" s="1" t="s">
        <v>10</v>
      </c>
      <c r="G3" s="1" t="s">
        <v>10</v>
      </c>
      <c r="H3" s="2">
        <v>119</v>
      </c>
      <c r="I3">
        <f>SUMIF(Corridas!$G$3:$Q$9,C3,Corridas!$G$12:$Q$18)</f>
        <v>119</v>
      </c>
    </row>
    <row r="4" spans="1:9" x14ac:dyDescent="0.25">
      <c r="A4" s="3">
        <v>3</v>
      </c>
      <c r="B4" s="1" t="s">
        <v>11</v>
      </c>
      <c r="C4" s="3" t="s">
        <v>85</v>
      </c>
      <c r="D4" s="3">
        <v>11</v>
      </c>
      <c r="E4" s="3" t="s">
        <v>12</v>
      </c>
      <c r="F4" s="1" t="s">
        <v>7</v>
      </c>
      <c r="G4" s="1" t="s">
        <v>48</v>
      </c>
      <c r="H4" s="2">
        <v>84</v>
      </c>
      <c r="I4">
        <f>SUMIF(Corridas!$G$3:$Q$9,C4,Corridas!$G$12:$Q$18)</f>
        <v>84</v>
      </c>
    </row>
    <row r="5" spans="1:9" x14ac:dyDescent="0.25">
      <c r="A5" s="3">
        <v>4</v>
      </c>
      <c r="B5" s="1" t="s">
        <v>13</v>
      </c>
      <c r="C5" s="3" t="s">
        <v>82</v>
      </c>
      <c r="D5" s="3">
        <v>4</v>
      </c>
      <c r="E5" s="3" t="s">
        <v>9</v>
      </c>
      <c r="F5" s="1" t="s">
        <v>14</v>
      </c>
      <c r="G5" s="1" t="s">
        <v>49</v>
      </c>
      <c r="H5" s="2">
        <v>76</v>
      </c>
      <c r="I5">
        <f>SUMIF(Corridas!$G$3:$Q$9,C5,Corridas!$G$12:$Q$18)</f>
        <v>76</v>
      </c>
    </row>
    <row r="6" spans="1:9" x14ac:dyDescent="0.25">
      <c r="A6" s="3">
        <v>5</v>
      </c>
      <c r="B6" s="1" t="s">
        <v>15</v>
      </c>
      <c r="C6" s="3" t="s">
        <v>84</v>
      </c>
      <c r="D6" s="3">
        <v>77</v>
      </c>
      <c r="E6" s="3" t="s">
        <v>16</v>
      </c>
      <c r="F6" s="1" t="s">
        <v>10</v>
      </c>
      <c r="G6" s="1" t="s">
        <v>10</v>
      </c>
      <c r="H6" s="2">
        <v>59</v>
      </c>
      <c r="I6">
        <f>SUMIF(Corridas!$G$3:$Q$9,C6,Corridas!$G$12:$Q$18)</f>
        <v>59</v>
      </c>
    </row>
    <row r="7" spans="1:9" x14ac:dyDescent="0.25">
      <c r="A7" s="3">
        <v>6</v>
      </c>
      <c r="B7" s="1" t="s">
        <v>17</v>
      </c>
      <c r="C7" s="3" t="s">
        <v>77</v>
      </c>
      <c r="D7" s="3">
        <v>16</v>
      </c>
      <c r="E7" s="3" t="s">
        <v>18</v>
      </c>
      <c r="F7" s="1" t="s">
        <v>19</v>
      </c>
      <c r="G7" s="1" t="s">
        <v>19</v>
      </c>
      <c r="H7" s="2">
        <v>52</v>
      </c>
      <c r="I7">
        <f>SUMIF(Corridas!$G$3:$Q$9,C7,Corridas!$G$12:$Q$18)</f>
        <v>52</v>
      </c>
    </row>
    <row r="8" spans="1:9" x14ac:dyDescent="0.25">
      <c r="A8" s="3">
        <v>7</v>
      </c>
      <c r="B8" s="1" t="s">
        <v>20</v>
      </c>
      <c r="C8" s="3" t="s">
        <v>78</v>
      </c>
      <c r="D8" s="3">
        <v>55</v>
      </c>
      <c r="E8" s="3" t="s">
        <v>21</v>
      </c>
      <c r="F8" s="1" t="s">
        <v>19</v>
      </c>
      <c r="G8" s="1" t="s">
        <v>19</v>
      </c>
      <c r="H8" s="2">
        <v>42</v>
      </c>
      <c r="I8">
        <f>SUMIF(Corridas!$G$3:$Q$9,C8,Corridas!$G$12:$Q$18)</f>
        <v>42</v>
      </c>
    </row>
    <row r="9" spans="1:9" x14ac:dyDescent="0.25">
      <c r="A9" s="3">
        <v>8</v>
      </c>
      <c r="B9" s="1" t="s">
        <v>22</v>
      </c>
      <c r="C9" s="3" t="s">
        <v>71</v>
      </c>
      <c r="D9" s="3">
        <v>10</v>
      </c>
      <c r="E9" s="3" t="s">
        <v>23</v>
      </c>
      <c r="F9" s="1" t="s">
        <v>24</v>
      </c>
      <c r="G9" s="1" t="s">
        <v>50</v>
      </c>
      <c r="H9" s="2">
        <v>37</v>
      </c>
      <c r="I9">
        <f>SUMIF(Corridas!$G$3:$Q$9,C9,Corridas!$G$12:$Q$18)</f>
        <v>37</v>
      </c>
    </row>
    <row r="10" spans="1:9" x14ac:dyDescent="0.25">
      <c r="A10" s="3">
        <v>9</v>
      </c>
      <c r="B10" s="1" t="s">
        <v>25</v>
      </c>
      <c r="C10" s="3" t="s">
        <v>81</v>
      </c>
      <c r="D10" s="3">
        <v>3</v>
      </c>
      <c r="E10" s="3" t="s">
        <v>26</v>
      </c>
      <c r="F10" s="1" t="s">
        <v>14</v>
      </c>
      <c r="G10" s="1" t="s">
        <v>49</v>
      </c>
      <c r="H10" s="2">
        <v>34</v>
      </c>
      <c r="I10">
        <f>SUMIF(Corridas!$G$3:$Q$9,C10,Corridas!$G$12:$Q$18)</f>
        <v>34</v>
      </c>
    </row>
    <row r="11" spans="1:9" x14ac:dyDescent="0.25">
      <c r="A11" s="3">
        <v>10</v>
      </c>
      <c r="B11" s="1" t="s">
        <v>27</v>
      </c>
      <c r="C11" s="3" t="s">
        <v>75</v>
      </c>
      <c r="D11" s="3">
        <v>5</v>
      </c>
      <c r="E11" s="3" t="s">
        <v>28</v>
      </c>
      <c r="F11" s="1" t="s">
        <v>29</v>
      </c>
      <c r="G11" s="1" t="s">
        <v>51</v>
      </c>
      <c r="H11" s="2">
        <v>30</v>
      </c>
      <c r="I11">
        <f>SUMIF(Corridas!$G$3:$Q$9,C11,Corridas!$G$12:$Q$18)</f>
        <v>30</v>
      </c>
    </row>
    <row r="12" spans="1:9" x14ac:dyDescent="0.25">
      <c r="A12" s="3">
        <v>11</v>
      </c>
      <c r="B12" s="1" t="s">
        <v>30</v>
      </c>
      <c r="C12" s="3" t="s">
        <v>73</v>
      </c>
      <c r="D12" s="3">
        <v>14</v>
      </c>
      <c r="E12" s="3" t="s">
        <v>21</v>
      </c>
      <c r="F12" s="1" t="s">
        <v>31</v>
      </c>
      <c r="G12" s="1" t="s">
        <v>52</v>
      </c>
      <c r="H12" s="2">
        <v>17</v>
      </c>
      <c r="I12">
        <f>SUMIF(Corridas!$G$3:$Q$9,C12,Corridas!$G$12:$Q$18)</f>
        <v>17</v>
      </c>
    </row>
    <row r="13" spans="1:9" x14ac:dyDescent="0.25">
      <c r="A13" s="3">
        <v>12</v>
      </c>
      <c r="B13" s="1" t="s">
        <v>32</v>
      </c>
      <c r="C13" s="3" t="s">
        <v>74</v>
      </c>
      <c r="D13" s="3">
        <v>31</v>
      </c>
      <c r="E13" s="3" t="s">
        <v>23</v>
      </c>
      <c r="F13" s="1" t="s">
        <v>31</v>
      </c>
      <c r="G13" s="1" t="s">
        <v>52</v>
      </c>
      <c r="H13" s="2">
        <v>12</v>
      </c>
      <c r="I13">
        <f>SUMIF(Corridas!$G$3:$Q$9,C13,Corridas!$G$12:$Q$18)</f>
        <v>12</v>
      </c>
    </row>
    <row r="14" spans="1:9" x14ac:dyDescent="0.25">
      <c r="A14" s="3">
        <v>13</v>
      </c>
      <c r="B14" s="1" t="s">
        <v>33</v>
      </c>
      <c r="C14" s="3" t="s">
        <v>76</v>
      </c>
      <c r="D14" s="3">
        <v>18</v>
      </c>
      <c r="E14" s="3" t="s">
        <v>34</v>
      </c>
      <c r="F14" s="1" t="s">
        <v>29</v>
      </c>
      <c r="G14" s="1" t="s">
        <v>51</v>
      </c>
      <c r="H14" s="2">
        <v>10</v>
      </c>
      <c r="I14">
        <f>SUMIF(Corridas!$G$3:$Q$9,C14,Corridas!$G$12:$Q$18)</f>
        <v>10</v>
      </c>
    </row>
    <row r="15" spans="1:9" x14ac:dyDescent="0.25">
      <c r="A15" s="3">
        <v>14</v>
      </c>
      <c r="B15" s="1" t="s">
        <v>35</v>
      </c>
      <c r="C15" s="3" t="s">
        <v>72</v>
      </c>
      <c r="D15" s="3">
        <v>22</v>
      </c>
      <c r="E15" s="3" t="s">
        <v>36</v>
      </c>
      <c r="F15" s="1" t="s">
        <v>24</v>
      </c>
      <c r="G15" s="1" t="s">
        <v>50</v>
      </c>
      <c r="H15" s="2">
        <v>8</v>
      </c>
      <c r="I15">
        <f>SUMIF(Corridas!$G$3:$Q$9,C15,Corridas!$G$12:$Q$18)</f>
        <v>8</v>
      </c>
    </row>
    <row r="16" spans="1:9" x14ac:dyDescent="0.25">
      <c r="A16" s="3">
        <v>15</v>
      </c>
      <c r="B16" s="1" t="s">
        <v>37</v>
      </c>
      <c r="C16" s="3" t="s">
        <v>69</v>
      </c>
      <c r="D16" s="3">
        <v>7</v>
      </c>
      <c r="E16" s="3" t="s">
        <v>16</v>
      </c>
      <c r="F16" s="1" t="s">
        <v>38</v>
      </c>
      <c r="G16" s="1" t="s">
        <v>53</v>
      </c>
      <c r="H16" s="2">
        <v>1</v>
      </c>
      <c r="I16">
        <f>SUMIF(Corridas!$G$3:$Q$9,C16,Corridas!$G$12:$Q$18)</f>
        <v>1</v>
      </c>
    </row>
    <row r="17" spans="1:9" x14ac:dyDescent="0.25">
      <c r="A17" s="3">
        <v>16</v>
      </c>
      <c r="B17" s="1" t="s">
        <v>39</v>
      </c>
      <c r="C17" s="3" t="s">
        <v>70</v>
      </c>
      <c r="D17" s="3">
        <v>99</v>
      </c>
      <c r="E17" s="3" t="s">
        <v>40</v>
      </c>
      <c r="F17" s="1" t="s">
        <v>38</v>
      </c>
      <c r="G17" s="1" t="s">
        <v>53</v>
      </c>
      <c r="H17" s="2">
        <v>1</v>
      </c>
      <c r="I17">
        <f>SUMIF(Corridas!$G$3:$Q$9,C17,Corridas!$G$12:$Q$18)</f>
        <v>1</v>
      </c>
    </row>
    <row r="18" spans="1:9" x14ac:dyDescent="0.25">
      <c r="A18" s="3">
        <v>17</v>
      </c>
      <c r="B18" s="1" t="s">
        <v>41</v>
      </c>
      <c r="C18" s="3" t="s">
        <v>87</v>
      </c>
      <c r="D18" s="3">
        <v>63</v>
      </c>
      <c r="E18" s="3" t="s">
        <v>9</v>
      </c>
      <c r="F18" s="1" t="s">
        <v>42</v>
      </c>
      <c r="G18" s="1" t="s">
        <v>42</v>
      </c>
      <c r="H18" s="2">
        <v>0</v>
      </c>
      <c r="I18">
        <f>SUMIF(Corridas!$G$3:$Q$9,C18,Corridas!$G$12:$Q$18)</f>
        <v>0</v>
      </c>
    </row>
    <row r="19" spans="1:9" x14ac:dyDescent="0.25">
      <c r="A19" s="3">
        <v>18</v>
      </c>
      <c r="B19" s="1" t="s">
        <v>43</v>
      </c>
      <c r="C19" s="3" t="s">
        <v>80</v>
      </c>
      <c r="D19" s="3">
        <v>47</v>
      </c>
      <c r="E19" s="3" t="s">
        <v>28</v>
      </c>
      <c r="F19" s="1" t="s">
        <v>44</v>
      </c>
      <c r="G19" s="1" t="s">
        <v>44</v>
      </c>
      <c r="H19" s="2">
        <v>0</v>
      </c>
      <c r="I19">
        <f>SUMIF(Corridas!$G$3:$Q$9,C19,Corridas!$G$12:$Q$18)</f>
        <v>0</v>
      </c>
    </row>
    <row r="20" spans="1:9" x14ac:dyDescent="0.25">
      <c r="A20" s="3">
        <v>19</v>
      </c>
      <c r="B20" s="1" t="s">
        <v>45</v>
      </c>
      <c r="C20" s="3" t="s">
        <v>79</v>
      </c>
      <c r="D20" s="3">
        <v>9</v>
      </c>
      <c r="E20" s="3" t="s">
        <v>46</v>
      </c>
      <c r="F20" s="1" t="s">
        <v>44</v>
      </c>
      <c r="G20" s="1" t="s">
        <v>44</v>
      </c>
      <c r="H20" s="2">
        <v>0</v>
      </c>
      <c r="I20">
        <f>SUMIF(Corridas!$G$3:$Q$9,C20,Corridas!$G$12:$Q$18)</f>
        <v>0</v>
      </c>
    </row>
    <row r="21" spans="1:9" x14ac:dyDescent="0.25">
      <c r="A21" s="3">
        <v>20</v>
      </c>
      <c r="B21" s="1" t="s">
        <v>47</v>
      </c>
      <c r="C21" s="3" t="s">
        <v>86</v>
      </c>
      <c r="D21" s="3">
        <v>6</v>
      </c>
      <c r="E21" s="3" t="s">
        <v>34</v>
      </c>
      <c r="F21" s="1" t="s">
        <v>42</v>
      </c>
      <c r="G21" s="1" t="s">
        <v>42</v>
      </c>
      <c r="H21" s="2">
        <v>0</v>
      </c>
      <c r="I21">
        <f>SUMIF(Corridas!$G$3:$Q$9,C21,Corridas!$G$12:$Q$18)</f>
        <v>0</v>
      </c>
    </row>
    <row r="22" spans="1:9" x14ac:dyDescent="0.25">
      <c r="C22" t="str">
        <f>C2&amp;","</f>
        <v>VER,</v>
      </c>
      <c r="D22" t="str">
        <f>C22</f>
        <v>VER,</v>
      </c>
      <c r="H22">
        <f>SUM(H2:H21)</f>
        <v>713</v>
      </c>
      <c r="I22">
        <f>SUM(I2:I21)</f>
        <v>713</v>
      </c>
    </row>
    <row r="23" spans="1:9" x14ac:dyDescent="0.25">
      <c r="C23" t="str">
        <f t="shared" ref="C23:C42" si="0">C3&amp;","</f>
        <v>HAM,</v>
      </c>
      <c r="D23" t="str">
        <f>D22&amp;C23</f>
        <v>VER,HAM,</v>
      </c>
    </row>
    <row r="24" spans="1:9" x14ac:dyDescent="0.25">
      <c r="C24" t="str">
        <f t="shared" si="0"/>
        <v>PER,</v>
      </c>
      <c r="D24" t="str">
        <f>D23&amp;C24</f>
        <v>VER,HAM,PER,</v>
      </c>
    </row>
    <row r="25" spans="1:9" x14ac:dyDescent="0.25">
      <c r="C25" t="str">
        <f t="shared" si="0"/>
        <v>NOR,</v>
      </c>
      <c r="D25" t="str">
        <f t="shared" ref="D25:D41" si="1">D24&amp;C25</f>
        <v>VER,HAM,PER,NOR,</v>
      </c>
    </row>
    <row r="26" spans="1:9" x14ac:dyDescent="0.25">
      <c r="C26" t="str">
        <f t="shared" si="0"/>
        <v>BOT,</v>
      </c>
      <c r="D26" t="str">
        <f t="shared" si="1"/>
        <v>VER,HAM,PER,NOR,BOT,</v>
      </c>
    </row>
    <row r="27" spans="1:9" x14ac:dyDescent="0.25">
      <c r="C27" t="str">
        <f t="shared" si="0"/>
        <v>LEC,</v>
      </c>
      <c r="D27" t="str">
        <f t="shared" si="1"/>
        <v>VER,HAM,PER,NOR,BOT,LEC,</v>
      </c>
    </row>
    <row r="28" spans="1:9" x14ac:dyDescent="0.25">
      <c r="C28" t="str">
        <f t="shared" si="0"/>
        <v>SAI,</v>
      </c>
      <c r="D28" t="str">
        <f t="shared" si="1"/>
        <v>VER,HAM,PER,NOR,BOT,LEC,SAI,</v>
      </c>
    </row>
    <row r="29" spans="1:9" x14ac:dyDescent="0.25">
      <c r="C29" t="str">
        <f t="shared" si="0"/>
        <v>GAS,</v>
      </c>
      <c r="D29" t="str">
        <f t="shared" si="1"/>
        <v>VER,HAM,PER,NOR,BOT,LEC,SAI,GAS,</v>
      </c>
    </row>
    <row r="30" spans="1:9" x14ac:dyDescent="0.25">
      <c r="C30" t="str">
        <f t="shared" si="0"/>
        <v>RIC,</v>
      </c>
      <c r="D30" t="str">
        <f t="shared" si="1"/>
        <v>VER,HAM,PER,NOR,BOT,LEC,SAI,GAS,RIC,</v>
      </c>
    </row>
    <row r="31" spans="1:9" x14ac:dyDescent="0.25">
      <c r="C31" t="str">
        <f t="shared" si="0"/>
        <v>VET,</v>
      </c>
      <c r="D31" t="str">
        <f t="shared" si="1"/>
        <v>VER,HAM,PER,NOR,BOT,LEC,SAI,GAS,RIC,VET,</v>
      </c>
    </row>
    <row r="32" spans="1:9" x14ac:dyDescent="0.25">
      <c r="C32" t="str">
        <f t="shared" si="0"/>
        <v>ALO,</v>
      </c>
      <c r="D32" t="str">
        <f t="shared" si="1"/>
        <v>VER,HAM,PER,NOR,BOT,LEC,SAI,GAS,RIC,VET,ALO,</v>
      </c>
    </row>
    <row r="33" spans="3:4" x14ac:dyDescent="0.25">
      <c r="C33" t="str">
        <f t="shared" si="0"/>
        <v>OCO,</v>
      </c>
      <c r="D33" t="str">
        <f t="shared" si="1"/>
        <v>VER,HAM,PER,NOR,BOT,LEC,SAI,GAS,RIC,VET,ALO,OCO,</v>
      </c>
    </row>
    <row r="34" spans="3:4" x14ac:dyDescent="0.25">
      <c r="C34" t="str">
        <f t="shared" si="0"/>
        <v>STR,</v>
      </c>
      <c r="D34" t="str">
        <f t="shared" si="1"/>
        <v>VER,HAM,PER,NOR,BOT,LEC,SAI,GAS,RIC,VET,ALO,OCO,STR,</v>
      </c>
    </row>
    <row r="35" spans="3:4" x14ac:dyDescent="0.25">
      <c r="C35" t="str">
        <f t="shared" si="0"/>
        <v>TSU,</v>
      </c>
      <c r="D35" t="str">
        <f t="shared" si="1"/>
        <v>VER,HAM,PER,NOR,BOT,LEC,SAI,GAS,RIC,VET,ALO,OCO,STR,TSU,</v>
      </c>
    </row>
    <row r="36" spans="3:4" x14ac:dyDescent="0.25">
      <c r="C36" t="str">
        <f t="shared" si="0"/>
        <v>RAI,</v>
      </c>
      <c r="D36" t="str">
        <f t="shared" si="1"/>
        <v>VER,HAM,PER,NOR,BOT,LEC,SAI,GAS,RIC,VET,ALO,OCO,STR,TSU,RAI,</v>
      </c>
    </row>
    <row r="37" spans="3:4" x14ac:dyDescent="0.25">
      <c r="C37" t="str">
        <f t="shared" si="0"/>
        <v>GIO,</v>
      </c>
      <c r="D37" t="str">
        <f t="shared" si="1"/>
        <v>VER,HAM,PER,NOR,BOT,LEC,SAI,GAS,RIC,VET,ALO,OCO,STR,TSU,RAI,GIO,</v>
      </c>
    </row>
    <row r="38" spans="3:4" x14ac:dyDescent="0.25">
      <c r="C38" t="str">
        <f t="shared" si="0"/>
        <v>RUS,</v>
      </c>
      <c r="D38" t="str">
        <f t="shared" si="1"/>
        <v>VER,HAM,PER,NOR,BOT,LEC,SAI,GAS,RIC,VET,ALO,OCO,STR,TSU,RAI,GIO,RUS,</v>
      </c>
    </row>
    <row r="39" spans="3:4" x14ac:dyDescent="0.25">
      <c r="C39" t="str">
        <f t="shared" si="0"/>
        <v>MSC,</v>
      </c>
      <c r="D39" t="str">
        <f t="shared" si="1"/>
        <v>VER,HAM,PER,NOR,BOT,LEC,SAI,GAS,RIC,VET,ALO,OCO,STR,TSU,RAI,GIO,RUS,MSC,</v>
      </c>
    </row>
    <row r="40" spans="3:4" x14ac:dyDescent="0.25">
      <c r="C40" t="str">
        <f t="shared" si="0"/>
        <v>MAZ,</v>
      </c>
      <c r="D40" t="str">
        <f t="shared" si="1"/>
        <v>VER,HAM,PER,NOR,BOT,LEC,SAI,GAS,RIC,VET,ALO,OCO,STR,TSU,RAI,GIO,RUS,MSC,MAZ,</v>
      </c>
    </row>
    <row r="41" spans="3:4" x14ac:dyDescent="0.25">
      <c r="C41" t="str">
        <f t="shared" si="0"/>
        <v>LAT,</v>
      </c>
      <c r="D41" t="str">
        <f t="shared" si="1"/>
        <v>VER,HAM,PER,NOR,BOT,LEC,SAI,GAS,RIC,VET,ALO,OCO,STR,TSU,RAI,GIO,RUS,MSC,MAZ,LAT,</v>
      </c>
    </row>
  </sheetData>
  <sortState xmlns:xlrd2="http://schemas.microsoft.com/office/spreadsheetml/2017/richdata2" ref="A2:H21">
    <sortCondition ref="A2:A21"/>
  </sortState>
  <hyperlinks>
    <hyperlink ref="B2" r:id="rId1" display="https://www.formula1.com/en/results.html/2021/drivers/MAXVER01/max-verstappen.html" xr:uid="{9681E974-C174-4F1F-A0C4-A3BD91977B17}"/>
    <hyperlink ref="F2" r:id="rId2" display="https://www.formula1.com/en/results.html/2021/team/red_bull_racing_honda.html" xr:uid="{6A07E098-7B30-4EC6-832C-9A7EE8767016}"/>
    <hyperlink ref="B3" r:id="rId3" display="https://www.formula1.com/en/results.html/2021/drivers/LEWHAM01/lewis-hamilton.html" xr:uid="{60E46F55-2436-4D79-A2AD-A74729D6D51E}"/>
    <hyperlink ref="F3" r:id="rId4" display="https://www.formula1.com/en/results.html/2021/team/mercedes.html" xr:uid="{EE93F738-3FA1-474B-9AE9-B125EB4C5DCA}"/>
    <hyperlink ref="B4" r:id="rId5" display="https://www.formula1.com/en/results.html/2021/drivers/SERPER01/sergio-perez.html" xr:uid="{0F9FE0A7-D10C-48F2-8732-E50D8767968B}"/>
    <hyperlink ref="F4" r:id="rId6" display="https://www.formula1.com/en/results.html/2021/team/red_bull_racing_honda.html" xr:uid="{F5EB7DD0-4C43-49A1-A817-0C4E953528F4}"/>
    <hyperlink ref="B5" r:id="rId7" display="https://www.formula1.com/en/results.html/2021/drivers/LANNOR01/lando-norris.html" xr:uid="{5F839882-AED1-4A2C-8364-C8BF8E32B3DB}"/>
    <hyperlink ref="F5" r:id="rId8" display="https://www.formula1.com/en/results.html/2021/team/mclaren_mercedes.html" xr:uid="{63BFF67A-3A01-4BA7-B346-536E1AF33589}"/>
    <hyperlink ref="B6" r:id="rId9" display="https://www.formula1.com/en/results.html/2021/drivers/VALBOT01/valtteri-bottas.html" xr:uid="{029CB627-399D-4BB7-8868-4E6E01865939}"/>
    <hyperlink ref="F6" r:id="rId10" display="https://www.formula1.com/en/results.html/2021/team/mercedes.html" xr:uid="{D68F4C6C-571C-4E49-9E5A-AF4E4F689EFA}"/>
    <hyperlink ref="B7" r:id="rId11" display="https://www.formula1.com/en/results.html/2021/drivers/CHALEC01/charles-leclerc.html" xr:uid="{EADF7C41-2C25-49EF-80E4-E38893FA50CE}"/>
    <hyperlink ref="F7" r:id="rId12" display="https://www.formula1.com/en/results.html/2021/team/ferrari.html" xr:uid="{EDA049CC-C30F-40C1-929E-A5C9C9719E67}"/>
    <hyperlink ref="B8" r:id="rId13" display="https://www.formula1.com/en/results.html/2021/drivers/CARSAI01/carlos-sainz.html" xr:uid="{3B95051D-85BA-412F-AC8D-35214C1FF195}"/>
    <hyperlink ref="F8" r:id="rId14" display="https://www.formula1.com/en/results.html/2021/team/ferrari.html" xr:uid="{44048528-29E0-4700-B0D5-B6C78CD528B9}"/>
    <hyperlink ref="B9" r:id="rId15" display="https://www.formula1.com/en/results.html/2021/drivers/PIEGAS01/pierre-gasly.html" xr:uid="{700E0FA9-AFC5-4A10-9A83-74EF7158B3D5}"/>
    <hyperlink ref="F9" r:id="rId16" display="https://www.formula1.com/en/results.html/2021/team/alphatauri_honda.html" xr:uid="{DDD3B493-7C7B-456A-A8FE-CA21F7452387}"/>
    <hyperlink ref="B10" r:id="rId17" display="https://www.formula1.com/en/results.html/2021/drivers/DANRIC01/daniel-ricciardo.html" xr:uid="{0D6CF19F-3F85-4306-A7CC-CF8B1CD2F7BA}"/>
    <hyperlink ref="F10" r:id="rId18" display="https://www.formula1.com/en/results.html/2021/team/mclaren_mercedes.html" xr:uid="{55FA7602-3D2D-42DC-B46A-0F39A27BF829}"/>
    <hyperlink ref="B11" r:id="rId19" display="https://www.formula1.com/en/results.html/2021/drivers/SEBVET01/sebastian-vettel.html" xr:uid="{49E3413B-9458-4FDB-964D-F329A6B8776E}"/>
    <hyperlink ref="F11" r:id="rId20" display="https://www.formula1.com/en/results.html/2021/team/aston_martin_mercedes.html" xr:uid="{702E17A0-9D84-49DC-8AEC-061C1A9AE4C4}"/>
    <hyperlink ref="B12" r:id="rId21" display="https://www.formula1.com/en/results.html/2021/drivers/FERALO01/fernando-alonso.html" xr:uid="{B283E569-5211-4D53-9C59-45A0D196494D}"/>
    <hyperlink ref="F12" r:id="rId22" display="https://www.formula1.com/en/results.html/2021/team/alpine_renault.html" xr:uid="{0F0E54E9-A44C-4E82-8371-C708A9D6F6F0}"/>
    <hyperlink ref="B13" r:id="rId23" display="https://www.formula1.com/en/results.html/2021/drivers/ESTOCO01/esteban-ocon.html" xr:uid="{7DD1EF11-6E45-45AB-BEAE-F05CFFDF5E66}"/>
    <hyperlink ref="F13" r:id="rId24" display="https://www.formula1.com/en/results.html/2021/team/alpine_renault.html" xr:uid="{14A4E61E-2526-4303-9837-8E06C38015A0}"/>
    <hyperlink ref="B14" r:id="rId25" display="https://www.formula1.com/en/results.html/2021/drivers/LANSTR01/lance-stroll.html" xr:uid="{E0F2CA4E-830E-495A-93ED-936ED492E20C}"/>
    <hyperlink ref="F14" r:id="rId26" display="https://www.formula1.com/en/results.html/2021/team/aston_martin_mercedes.html" xr:uid="{58FBA9D3-7280-4575-BA36-5CDD54C886F2}"/>
    <hyperlink ref="B15" r:id="rId27" display="https://www.formula1.com/en/results.html/2021/drivers/YUKTSU01/yuki-tsunoda.html" xr:uid="{9D6475CA-C5C4-48F0-9CF7-6470269370E7}"/>
    <hyperlink ref="F15" r:id="rId28" display="https://www.formula1.com/en/results.html/2021/team/alphatauri_honda.html" xr:uid="{9D20B20A-DD90-45C3-AF94-AB90456B04BD}"/>
    <hyperlink ref="B16" r:id="rId29" display="https://www.formula1.com/en/results.html/2021/drivers/KIMRAI01/kimi-raikkonen.html" xr:uid="{66C824AB-0D18-4277-B903-347EAAED9C3A}"/>
    <hyperlink ref="F16" r:id="rId30" display="https://www.formula1.com/en/results.html/2021/team/alfa_romeo_racing_ferrari.html" xr:uid="{7FB1000E-B0C5-4E54-A129-89FBF1C565FA}"/>
    <hyperlink ref="B17" r:id="rId31" display="https://www.formula1.com/en/results.html/2021/drivers/ANTGIO01/antonio-giovinazzi.html" xr:uid="{9310F3BE-0F80-4373-AF7A-5C3CE6AA0C6F}"/>
    <hyperlink ref="F17" r:id="rId32" display="https://www.formula1.com/en/results.html/2021/team/alfa_romeo_racing_ferrari.html" xr:uid="{23858F6B-1D42-40B5-99C8-302B79538BDE}"/>
    <hyperlink ref="B18" r:id="rId33" display="https://www.formula1.com/en/results.html/2021/drivers/GEORUS01/george-russell.html" xr:uid="{A89FAD72-E338-4039-AEE9-196B98BB4FFB}"/>
    <hyperlink ref="F18" r:id="rId34" display="https://www.formula1.com/en/results.html/2021/team/williams_mercedes.html" xr:uid="{CBB9F10A-43A9-46A4-902B-0F309B19B35A}"/>
    <hyperlink ref="B19" r:id="rId35" display="https://www.formula1.com/en/results.html/2021/drivers/MICSCH02/mick-schumacher.html" xr:uid="{52FCC739-8A55-4773-AC09-84FB05C92325}"/>
    <hyperlink ref="F19" r:id="rId36" display="https://www.formula1.com/en/results.html/2021/team/haas_ferrari.html" xr:uid="{BB83C703-E57D-4DC7-A218-BFC35BC7F171}"/>
    <hyperlink ref="B20" r:id="rId37" display="https://www.formula1.com/en/results.html/2021/drivers/NIKMAZ01/nikita-mazepin.html" xr:uid="{3DF41BB2-DEE3-47B1-845A-C666085C8490}"/>
    <hyperlink ref="F20" r:id="rId38" display="https://www.formula1.com/en/results.html/2021/team/haas_ferrari.html" xr:uid="{23D1C24C-A352-460D-9024-09756C8F3983}"/>
    <hyperlink ref="B21" r:id="rId39" display="https://www.formula1.com/en/results.html/2021/drivers/NICLAF01/nicholas-latifi.html" xr:uid="{7AFC0E8C-08BF-4A40-AF9B-41008A86AEFF}"/>
    <hyperlink ref="F21" r:id="rId40" display="https://www.formula1.com/en/results.html/2021/team/williams_mercedes.html" xr:uid="{D33CF501-3DF2-416C-BCFE-4930819F4CDF}"/>
    <hyperlink ref="G2" r:id="rId41" display="https://www.formula1.com/en/results.html/2021/team/red_bull_racing_honda.html" xr:uid="{66944A35-BF36-4770-B39C-922C8B2E97B9}"/>
    <hyperlink ref="G3" r:id="rId42" display="https://www.formula1.com/en/results.html/2021/team/mercedes.html" xr:uid="{4970D953-E083-453A-8E73-D930630C8169}"/>
    <hyperlink ref="G4" r:id="rId43" display="https://www.formula1.com/en/results.html/2021/team/red_bull_racing_honda.html" xr:uid="{8013AE6F-9292-40EE-8AF0-B28CA5539679}"/>
    <hyperlink ref="G5" r:id="rId44" display="https://www.formula1.com/en/results.html/2021/team/mclaren_mercedes.html" xr:uid="{851C5723-7A24-4F78-A592-A2CA8A882C73}"/>
    <hyperlink ref="G6" r:id="rId45" display="https://www.formula1.com/en/results.html/2021/team/mercedes.html" xr:uid="{FAB1BE9D-C756-44FB-9A33-7CCFD49DC3EA}"/>
    <hyperlink ref="G7" r:id="rId46" display="https://www.formula1.com/en/results.html/2021/team/ferrari.html" xr:uid="{3AC2B001-B832-4742-B789-B1D99B1A7058}"/>
    <hyperlink ref="G8" r:id="rId47" display="https://www.formula1.com/en/results.html/2021/team/ferrari.html" xr:uid="{42E54E71-F427-40D0-BFF7-6805310E1AC4}"/>
    <hyperlink ref="G9" r:id="rId48" display="https://www.formula1.com/en/results.html/2021/team/alphatauri_honda.html" xr:uid="{9216612A-4448-41F9-B9A7-6231ABB74FD9}"/>
    <hyperlink ref="G10" r:id="rId49" display="https://www.formula1.com/en/results.html/2021/team/mclaren_mercedes.html" xr:uid="{2FE9E1C8-E07B-49F0-A339-BC027E443318}"/>
    <hyperlink ref="G11" r:id="rId50" display="https://www.formula1.com/en/results.html/2021/team/aston_martin_mercedes.html" xr:uid="{BC2AA904-FBED-477A-8C7A-F4B86144DB4B}"/>
    <hyperlink ref="G12" r:id="rId51" display="https://www.formula1.com/en/results.html/2021/team/alpine_renault.html" xr:uid="{660F87AB-F720-493B-A3C8-09CFA138DEA3}"/>
    <hyperlink ref="G14" r:id="rId52" display="https://www.formula1.com/en/results.html/2021/team/aston_martin_mercedes.html" xr:uid="{D9B95BC3-14DD-4971-A49A-84BDF5C3E8E8}"/>
    <hyperlink ref="G15" r:id="rId53" display="https://www.formula1.com/en/results.html/2021/team/alphatauri_honda.html" xr:uid="{9A2AE051-D8D4-4AA8-BC9F-CE5013507968}"/>
    <hyperlink ref="G16" r:id="rId54" display="https://www.formula1.com/en/results.html/2021/team/alfa_romeo_racing_ferrari.html" xr:uid="{EE881482-C2FC-4D9B-A3EA-773AB4398802}"/>
    <hyperlink ref="G17" r:id="rId55" display="https://www.formula1.com/en/results.html/2021/team/alfa_romeo_racing_ferrari.html" xr:uid="{59A9B8E9-3FFB-4891-8B9D-802045CC3995}"/>
    <hyperlink ref="G18" r:id="rId56" display="https://www.formula1.com/en/results.html/2021/team/williams_mercedes.html" xr:uid="{81B6C106-E3C0-43E2-AB60-DFEB5ED71C03}"/>
    <hyperlink ref="G19" r:id="rId57" display="https://www.formula1.com/en/results.html/2021/team/haas_ferrari.html" xr:uid="{8307F7B6-02F8-4879-953D-8FA0745CB5DF}"/>
    <hyperlink ref="G20" r:id="rId58" display="https://www.formula1.com/en/results.html/2021/team/haas_ferrari.html" xr:uid="{721BBDB0-39AF-48C7-8B94-7E61BD84429B}"/>
    <hyperlink ref="G21" r:id="rId59" display="https://www.formula1.com/en/results.html/2021/team/williams_mercedes.html" xr:uid="{B4F97213-E7D3-42A4-AEC4-B38974907046}"/>
    <hyperlink ref="G13" r:id="rId60" display="https://www.formula1.com/en/results.html/2021/team/alpine_renault.html" xr:uid="{FEDDAABC-1B27-456F-93CA-8F9A25893D83}"/>
  </hyperlinks>
  <pageMargins left="0.7" right="0.7" top="0.75" bottom="0.75" header="0.3" footer="0.3"/>
  <pageSetup paperSize="9" orientation="portrait" r:id="rId6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17C42-6D71-4CDC-AC59-9EBAAB9B967B}">
  <dimension ref="A1"/>
  <sheetViews>
    <sheetView workbookViewId="0">
      <selection activeCell="L11" sqref="L11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EBC1D-F2A2-4B09-AA99-93F72A95B36B}">
  <sheetPr codeName="Planilha2"/>
  <dimension ref="A1:AR27"/>
  <sheetViews>
    <sheetView topLeftCell="C1" workbookViewId="0">
      <selection activeCell="K21" sqref="K21"/>
    </sheetView>
  </sheetViews>
  <sheetFormatPr defaultRowHeight="15" x14ac:dyDescent="0.25"/>
  <cols>
    <col min="2" max="2" width="15.140625" bestFit="1" customWidth="1"/>
    <col min="3" max="3" width="11.5703125" bestFit="1" customWidth="1"/>
    <col min="4" max="4" width="15.5703125" bestFit="1" customWidth="1"/>
    <col min="5" max="5" width="23.85546875" bestFit="1" customWidth="1"/>
    <col min="6" max="6" width="6.7109375" customWidth="1"/>
    <col min="7" max="7" width="10.7109375" bestFit="1" customWidth="1"/>
  </cols>
  <sheetData>
    <row r="1" spans="2:44" x14ac:dyDescent="0.25">
      <c r="G1" s="4">
        <v>25</v>
      </c>
      <c r="H1" s="4">
        <v>18</v>
      </c>
      <c r="I1" s="4">
        <v>15</v>
      </c>
      <c r="J1" s="4">
        <v>12</v>
      </c>
      <c r="K1" s="4">
        <v>10</v>
      </c>
      <c r="L1" s="4">
        <v>8</v>
      </c>
      <c r="M1" s="4">
        <v>6</v>
      </c>
      <c r="N1" s="4">
        <v>4</v>
      </c>
      <c r="O1" s="4">
        <v>2</v>
      </c>
      <c r="P1" s="4">
        <v>1</v>
      </c>
      <c r="Q1" s="4">
        <v>1</v>
      </c>
    </row>
    <row r="2" spans="2:44" x14ac:dyDescent="0.25">
      <c r="B2" s="5" t="s">
        <v>91</v>
      </c>
      <c r="C2" s="5" t="s">
        <v>92</v>
      </c>
      <c r="D2" s="5" t="s">
        <v>93</v>
      </c>
      <c r="E2" s="5" t="s">
        <v>94</v>
      </c>
      <c r="F2" s="5" t="s">
        <v>95</v>
      </c>
      <c r="G2" s="5" t="s">
        <v>96</v>
      </c>
      <c r="H2" s="5">
        <v>2</v>
      </c>
      <c r="I2" s="5">
        <f>+H2+1</f>
        <v>3</v>
      </c>
      <c r="J2" s="5">
        <f t="shared" ref="J2:P2" si="0">+I2+1</f>
        <v>4</v>
      </c>
      <c r="K2" s="5">
        <f t="shared" si="0"/>
        <v>5</v>
      </c>
      <c r="L2" s="5">
        <f t="shared" si="0"/>
        <v>6</v>
      </c>
      <c r="M2" s="5">
        <f t="shared" si="0"/>
        <v>7</v>
      </c>
      <c r="N2" s="5">
        <f t="shared" si="0"/>
        <v>8</v>
      </c>
      <c r="O2" s="5">
        <f t="shared" si="0"/>
        <v>9</v>
      </c>
      <c r="P2" s="5">
        <f t="shared" si="0"/>
        <v>10</v>
      </c>
      <c r="Q2" s="5" t="s">
        <v>97</v>
      </c>
      <c r="R2" t="s">
        <v>100</v>
      </c>
      <c r="S2" t="str">
        <f>"&lt;td&gt;"&amp;B2&amp;"&lt;/td&gt;"</f>
        <v>&lt;td&gt;GP&lt;/td&gt;</v>
      </c>
      <c r="T2" t="str">
        <f>"&lt;td&gt;"&amp;G2&amp;"&lt;/td&gt;"</f>
        <v>&lt;td&gt;VENC&lt;/td&gt;</v>
      </c>
      <c r="U2" t="str">
        <f t="shared" ref="U2:AD9" si="1">"&lt;td&gt;"&amp;H2&amp;"&lt;/td&gt;"</f>
        <v>&lt;td&gt;2&lt;/td&gt;</v>
      </c>
      <c r="V2" t="str">
        <f t="shared" si="1"/>
        <v>&lt;td&gt;3&lt;/td&gt;</v>
      </c>
      <c r="W2" t="str">
        <f t="shared" si="1"/>
        <v>&lt;td&gt;4&lt;/td&gt;</v>
      </c>
      <c r="X2" t="str">
        <f t="shared" si="1"/>
        <v>&lt;td&gt;5&lt;/td&gt;</v>
      </c>
      <c r="Y2" t="str">
        <f t="shared" si="1"/>
        <v>&lt;td&gt;6&lt;/td&gt;</v>
      </c>
      <c r="Z2" t="str">
        <f t="shared" si="1"/>
        <v>&lt;td&gt;7&lt;/td&gt;</v>
      </c>
      <c r="AA2" t="str">
        <f t="shared" si="1"/>
        <v>&lt;td&gt;8&lt;/td&gt;</v>
      </c>
      <c r="AB2" t="str">
        <f t="shared" si="1"/>
        <v>&lt;td&gt;9&lt;/td&gt;</v>
      </c>
      <c r="AC2" t="str">
        <f t="shared" si="1"/>
        <v>&lt;td&gt;10&lt;/td&gt;</v>
      </c>
      <c r="AD2" t="str">
        <f t="shared" si="1"/>
        <v>&lt;td&gt;M.VOLTA&lt;/td&gt;</v>
      </c>
      <c r="AE2" t="s">
        <v>101</v>
      </c>
      <c r="AF2" t="str">
        <f>R2&amp;S2</f>
        <v>&lt;tr&gt;&lt;td&gt;GP&lt;/td&gt;</v>
      </c>
      <c r="AG2" t="str">
        <f>AF2&amp;T2</f>
        <v>&lt;tr&gt;&lt;td&gt;GP&lt;/td&gt;&lt;td&gt;VENC&lt;/td&gt;</v>
      </c>
      <c r="AH2" t="str">
        <f t="shared" ref="AH2:AQ2" si="2">AG2&amp;U2</f>
        <v>&lt;tr&gt;&lt;td&gt;GP&lt;/td&gt;&lt;td&gt;VENC&lt;/td&gt;&lt;td&gt;2&lt;/td&gt;</v>
      </c>
      <c r="AI2" t="str">
        <f t="shared" si="2"/>
        <v>&lt;tr&gt;&lt;td&gt;GP&lt;/td&gt;&lt;td&gt;VENC&lt;/td&gt;&lt;td&gt;2&lt;/td&gt;&lt;td&gt;3&lt;/td&gt;</v>
      </c>
      <c r="AJ2" t="str">
        <f t="shared" si="2"/>
        <v>&lt;tr&gt;&lt;td&gt;GP&lt;/td&gt;&lt;td&gt;VENC&lt;/td&gt;&lt;td&gt;2&lt;/td&gt;&lt;td&gt;3&lt;/td&gt;&lt;td&gt;4&lt;/td&gt;</v>
      </c>
      <c r="AK2" t="str">
        <f t="shared" si="2"/>
        <v>&lt;tr&gt;&lt;td&gt;GP&lt;/td&gt;&lt;td&gt;VENC&lt;/td&gt;&lt;td&gt;2&lt;/td&gt;&lt;td&gt;3&lt;/td&gt;&lt;td&gt;4&lt;/td&gt;&lt;td&gt;5&lt;/td&gt;</v>
      </c>
      <c r="AL2" t="str">
        <f t="shared" si="2"/>
        <v>&lt;tr&gt;&lt;td&gt;GP&lt;/td&gt;&lt;td&gt;VENC&lt;/td&gt;&lt;td&gt;2&lt;/td&gt;&lt;td&gt;3&lt;/td&gt;&lt;td&gt;4&lt;/td&gt;&lt;td&gt;5&lt;/td&gt;&lt;td&gt;6&lt;/td&gt;</v>
      </c>
      <c r="AM2" t="str">
        <f t="shared" si="2"/>
        <v>&lt;tr&gt;&lt;td&gt;GP&lt;/td&gt;&lt;td&gt;VENC&lt;/td&gt;&lt;td&gt;2&lt;/td&gt;&lt;td&gt;3&lt;/td&gt;&lt;td&gt;4&lt;/td&gt;&lt;td&gt;5&lt;/td&gt;&lt;td&gt;6&lt;/td&gt;&lt;td&gt;7&lt;/td&gt;</v>
      </c>
      <c r="AN2" t="str">
        <f t="shared" si="2"/>
        <v>&lt;tr&gt;&lt;td&gt;GP&lt;/td&gt;&lt;td&gt;VENC&lt;/td&gt;&lt;td&gt;2&lt;/td&gt;&lt;td&gt;3&lt;/td&gt;&lt;td&gt;4&lt;/td&gt;&lt;td&gt;5&lt;/td&gt;&lt;td&gt;6&lt;/td&gt;&lt;td&gt;7&lt;/td&gt;&lt;td&gt;8&lt;/td&gt;</v>
      </c>
      <c r="AO2" t="str">
        <f t="shared" si="2"/>
        <v>&lt;tr&gt;&lt;td&gt;GP&lt;/td&gt;&lt;td&gt;VENC&lt;/td&gt;&lt;td&gt;2&lt;/td&gt;&lt;td&gt;3&lt;/td&gt;&lt;td&gt;4&lt;/td&gt;&lt;td&gt;5&lt;/td&gt;&lt;td&gt;6&lt;/td&gt;&lt;td&gt;7&lt;/td&gt;&lt;td&gt;8&lt;/td&gt;&lt;td&gt;9&lt;/td&gt;</v>
      </c>
      <c r="AP2" t="str">
        <f t="shared" si="2"/>
        <v>&lt;tr&gt;&lt;td&gt;GP&lt;/td&gt;&lt;td&gt;VENC&lt;/td&gt;&lt;td&gt;2&lt;/td&gt;&lt;td&gt;3&lt;/td&gt;&lt;td&gt;4&lt;/td&gt;&lt;td&gt;5&lt;/td&gt;&lt;td&gt;6&lt;/td&gt;&lt;td&gt;7&lt;/td&gt;&lt;td&gt;8&lt;/td&gt;&lt;td&gt;9&lt;/td&gt;&lt;td&gt;10&lt;/td&gt;</v>
      </c>
      <c r="AQ2" t="str">
        <f t="shared" si="2"/>
        <v>&lt;tr&gt;&lt;td&gt;GP&lt;/td&gt;&lt;td&gt;VENC&lt;/td&gt;&lt;td&gt;2&lt;/td&gt;&lt;td&gt;3&lt;/td&gt;&lt;td&gt;4&lt;/td&gt;&lt;td&gt;5&lt;/td&gt;&lt;td&gt;6&lt;/td&gt;&lt;td&gt;7&lt;/td&gt;&lt;td&gt;8&lt;/td&gt;&lt;td&gt;9&lt;/td&gt;&lt;td&gt;10&lt;/td&gt;&lt;td&gt;M.VOLTA&lt;/td&gt;</v>
      </c>
      <c r="AR2" t="s">
        <v>102</v>
      </c>
    </row>
    <row r="3" spans="2:44" x14ac:dyDescent="0.25">
      <c r="B3" s="3" t="s">
        <v>55</v>
      </c>
      <c r="C3" s="7">
        <v>44283</v>
      </c>
      <c r="D3" s="3">
        <v>56</v>
      </c>
      <c r="E3" s="3" t="s">
        <v>56</v>
      </c>
      <c r="F3" s="3" t="s">
        <v>54</v>
      </c>
      <c r="G3" s="3" t="s">
        <v>83</v>
      </c>
      <c r="H3" s="3" t="s">
        <v>54</v>
      </c>
      <c r="I3" s="3" t="s">
        <v>84</v>
      </c>
      <c r="J3" s="3" t="s">
        <v>82</v>
      </c>
      <c r="K3" s="3" t="s">
        <v>85</v>
      </c>
      <c r="L3" s="3" t="s">
        <v>77</v>
      </c>
      <c r="M3" s="3" t="s">
        <v>81</v>
      </c>
      <c r="N3" s="3" t="s">
        <v>78</v>
      </c>
      <c r="O3" s="3" t="s">
        <v>72</v>
      </c>
      <c r="P3" s="3" t="s">
        <v>76</v>
      </c>
      <c r="Q3" s="3" t="s">
        <v>84</v>
      </c>
      <c r="R3" t="s">
        <v>100</v>
      </c>
      <c r="S3" t="str">
        <f t="shared" ref="S3:S9" si="3">"&lt;td&gt;"&amp;B3&amp;"&lt;/td&gt;"</f>
        <v>&lt;td&gt;Bahrain&lt;/td&gt;</v>
      </c>
      <c r="T3" t="str">
        <f t="shared" ref="T3:T9" si="4">"&lt;td&gt;"&amp;G3&amp;"&lt;/td&gt;"</f>
        <v>&lt;td&gt;HAM&lt;/td&gt;</v>
      </c>
      <c r="U3" t="str">
        <f t="shared" si="1"/>
        <v>&lt;td&gt;VER&lt;/td&gt;</v>
      </c>
      <c r="V3" t="str">
        <f t="shared" si="1"/>
        <v>&lt;td&gt;BOT&lt;/td&gt;</v>
      </c>
      <c r="W3" t="str">
        <f t="shared" si="1"/>
        <v>&lt;td&gt;NOR&lt;/td&gt;</v>
      </c>
      <c r="X3" t="str">
        <f t="shared" si="1"/>
        <v>&lt;td&gt;PER&lt;/td&gt;</v>
      </c>
      <c r="Y3" t="str">
        <f t="shared" si="1"/>
        <v>&lt;td&gt;LEC&lt;/td&gt;</v>
      </c>
      <c r="Z3" t="str">
        <f t="shared" si="1"/>
        <v>&lt;td&gt;RIC&lt;/td&gt;</v>
      </c>
      <c r="AA3" t="str">
        <f t="shared" si="1"/>
        <v>&lt;td&gt;SAI&lt;/td&gt;</v>
      </c>
      <c r="AB3" t="str">
        <f t="shared" si="1"/>
        <v>&lt;td&gt;TSU&lt;/td&gt;</v>
      </c>
      <c r="AC3" t="str">
        <f t="shared" si="1"/>
        <v>&lt;td&gt;STR&lt;/td&gt;</v>
      </c>
      <c r="AD3" t="str">
        <f t="shared" si="1"/>
        <v>&lt;td&gt;BOT&lt;/td&gt;</v>
      </c>
      <c r="AE3" t="s">
        <v>101</v>
      </c>
      <c r="AF3" t="str">
        <f t="shared" ref="AF3:AF9" si="5">R3&amp;S3</f>
        <v>&lt;tr&gt;&lt;td&gt;Bahrain&lt;/td&gt;</v>
      </c>
      <c r="AG3" t="str">
        <f t="shared" ref="AG3:AG9" si="6">AF3&amp;T3</f>
        <v>&lt;tr&gt;&lt;td&gt;Bahrain&lt;/td&gt;&lt;td&gt;HAM&lt;/td&gt;</v>
      </c>
      <c r="AH3" t="str">
        <f t="shared" ref="AH3:AH9" si="7">AG3&amp;U3</f>
        <v>&lt;tr&gt;&lt;td&gt;Bahrain&lt;/td&gt;&lt;td&gt;HAM&lt;/td&gt;&lt;td&gt;VER&lt;/td&gt;</v>
      </c>
      <c r="AI3" t="str">
        <f t="shared" ref="AI3:AI9" si="8">AH3&amp;V3</f>
        <v>&lt;tr&gt;&lt;td&gt;Bahrain&lt;/td&gt;&lt;td&gt;HAM&lt;/td&gt;&lt;td&gt;VER&lt;/td&gt;&lt;td&gt;BOT&lt;/td&gt;</v>
      </c>
      <c r="AJ3" t="str">
        <f t="shared" ref="AJ3:AJ9" si="9">AI3&amp;W3</f>
        <v>&lt;tr&gt;&lt;td&gt;Bahrain&lt;/td&gt;&lt;td&gt;HAM&lt;/td&gt;&lt;td&gt;VER&lt;/td&gt;&lt;td&gt;BOT&lt;/td&gt;&lt;td&gt;NOR&lt;/td&gt;</v>
      </c>
      <c r="AK3" t="str">
        <f t="shared" ref="AK3:AK9" si="10">AJ3&amp;X3</f>
        <v>&lt;tr&gt;&lt;td&gt;Bahrain&lt;/td&gt;&lt;td&gt;HAM&lt;/td&gt;&lt;td&gt;VER&lt;/td&gt;&lt;td&gt;BOT&lt;/td&gt;&lt;td&gt;NOR&lt;/td&gt;&lt;td&gt;PER&lt;/td&gt;</v>
      </c>
      <c r="AL3" t="str">
        <f t="shared" ref="AL3:AL9" si="11">AK3&amp;Y3</f>
        <v>&lt;tr&gt;&lt;td&gt;Bahrain&lt;/td&gt;&lt;td&gt;HAM&lt;/td&gt;&lt;td&gt;VER&lt;/td&gt;&lt;td&gt;BOT&lt;/td&gt;&lt;td&gt;NOR&lt;/td&gt;&lt;td&gt;PER&lt;/td&gt;&lt;td&gt;LEC&lt;/td&gt;</v>
      </c>
      <c r="AM3" t="str">
        <f t="shared" ref="AM3:AM9" si="12">AL3&amp;Z3</f>
        <v>&lt;tr&gt;&lt;td&gt;Bahrain&lt;/td&gt;&lt;td&gt;HAM&lt;/td&gt;&lt;td&gt;VER&lt;/td&gt;&lt;td&gt;BOT&lt;/td&gt;&lt;td&gt;NOR&lt;/td&gt;&lt;td&gt;PER&lt;/td&gt;&lt;td&gt;LEC&lt;/td&gt;&lt;td&gt;RIC&lt;/td&gt;</v>
      </c>
      <c r="AN3" t="str">
        <f t="shared" ref="AN3:AN9" si="13">AM3&amp;AA3</f>
        <v>&lt;tr&gt;&lt;td&gt;Bahrain&lt;/td&gt;&lt;td&gt;HAM&lt;/td&gt;&lt;td&gt;VER&lt;/td&gt;&lt;td&gt;BOT&lt;/td&gt;&lt;td&gt;NOR&lt;/td&gt;&lt;td&gt;PER&lt;/td&gt;&lt;td&gt;LEC&lt;/td&gt;&lt;td&gt;RIC&lt;/td&gt;&lt;td&gt;SAI&lt;/td&gt;</v>
      </c>
      <c r="AO3" t="str">
        <f t="shared" ref="AO3:AO9" si="14">AN3&amp;AB3</f>
        <v>&lt;tr&gt;&lt;td&gt;Bahrain&lt;/td&gt;&lt;td&gt;HAM&lt;/td&gt;&lt;td&gt;VER&lt;/td&gt;&lt;td&gt;BOT&lt;/td&gt;&lt;td&gt;NOR&lt;/td&gt;&lt;td&gt;PER&lt;/td&gt;&lt;td&gt;LEC&lt;/td&gt;&lt;td&gt;RIC&lt;/td&gt;&lt;td&gt;SAI&lt;/td&gt;&lt;td&gt;TSU&lt;/td&gt;</v>
      </c>
      <c r="AP3" t="str">
        <f t="shared" ref="AP3:AP9" si="15">AO3&amp;AC3</f>
        <v>&lt;tr&gt;&lt;td&gt;Bahrain&lt;/td&gt;&lt;td&gt;HAM&lt;/td&gt;&lt;td&gt;VER&lt;/td&gt;&lt;td&gt;BOT&lt;/td&gt;&lt;td&gt;NOR&lt;/td&gt;&lt;td&gt;PER&lt;/td&gt;&lt;td&gt;LEC&lt;/td&gt;&lt;td&gt;RIC&lt;/td&gt;&lt;td&gt;SAI&lt;/td&gt;&lt;td&gt;TSU&lt;/td&gt;&lt;td&gt;STR&lt;/td&gt;</v>
      </c>
      <c r="AQ3" t="str">
        <f t="shared" ref="AQ3:AQ9" si="16">AP3&amp;AD3</f>
        <v>&lt;tr&gt;&lt;td&gt;Bahrain&lt;/td&gt;&lt;td&gt;HAM&lt;/td&gt;&lt;td&gt;VER&lt;/td&gt;&lt;td&gt;BOT&lt;/td&gt;&lt;td&gt;NOR&lt;/td&gt;&lt;td&gt;PER&lt;/td&gt;&lt;td&gt;LEC&lt;/td&gt;&lt;td&gt;RIC&lt;/td&gt;&lt;td&gt;SAI&lt;/td&gt;&lt;td&gt;TSU&lt;/td&gt;&lt;td&gt;STR&lt;/td&gt;&lt;td&gt;BOT&lt;/td&gt;</v>
      </c>
      <c r="AR3" t="s">
        <v>103</v>
      </c>
    </row>
    <row r="4" spans="2:44" x14ac:dyDescent="0.25">
      <c r="B4" s="3" t="s">
        <v>57</v>
      </c>
      <c r="C4" s="7">
        <v>44304</v>
      </c>
      <c r="D4" s="3">
        <v>63</v>
      </c>
      <c r="E4" s="3" t="s">
        <v>58</v>
      </c>
      <c r="F4" s="3" t="s">
        <v>83</v>
      </c>
      <c r="G4" s="3" t="s">
        <v>54</v>
      </c>
      <c r="H4" s="3" t="s">
        <v>83</v>
      </c>
      <c r="I4" s="3" t="s">
        <v>82</v>
      </c>
      <c r="J4" s="3" t="s">
        <v>77</v>
      </c>
      <c r="K4" s="3" t="s">
        <v>78</v>
      </c>
      <c r="L4" s="3" t="s">
        <v>81</v>
      </c>
      <c r="M4" s="3" t="s">
        <v>71</v>
      </c>
      <c r="N4" s="3" t="s">
        <v>76</v>
      </c>
      <c r="O4" s="3" t="s">
        <v>74</v>
      </c>
      <c r="P4" s="3" t="s">
        <v>73</v>
      </c>
      <c r="Q4" s="3" t="s">
        <v>83</v>
      </c>
      <c r="R4" t="s">
        <v>100</v>
      </c>
      <c r="S4" t="str">
        <f t="shared" si="3"/>
        <v>&lt;td&gt;Emilia Romagna&lt;/td&gt;</v>
      </c>
      <c r="T4" t="str">
        <f t="shared" si="4"/>
        <v>&lt;td&gt;VER&lt;/td&gt;</v>
      </c>
      <c r="U4" t="str">
        <f t="shared" si="1"/>
        <v>&lt;td&gt;HAM&lt;/td&gt;</v>
      </c>
      <c r="V4" t="str">
        <f t="shared" si="1"/>
        <v>&lt;td&gt;NOR&lt;/td&gt;</v>
      </c>
      <c r="W4" t="str">
        <f t="shared" si="1"/>
        <v>&lt;td&gt;LEC&lt;/td&gt;</v>
      </c>
      <c r="X4" t="str">
        <f t="shared" si="1"/>
        <v>&lt;td&gt;SAI&lt;/td&gt;</v>
      </c>
      <c r="Y4" t="str">
        <f t="shared" si="1"/>
        <v>&lt;td&gt;RIC&lt;/td&gt;</v>
      </c>
      <c r="Z4" t="str">
        <f t="shared" si="1"/>
        <v>&lt;td&gt;GAS&lt;/td&gt;</v>
      </c>
      <c r="AA4" t="str">
        <f t="shared" si="1"/>
        <v>&lt;td&gt;STR&lt;/td&gt;</v>
      </c>
      <c r="AB4" t="str">
        <f t="shared" si="1"/>
        <v>&lt;td&gt;OCO&lt;/td&gt;</v>
      </c>
      <c r="AC4" t="str">
        <f t="shared" si="1"/>
        <v>&lt;td&gt;ALO&lt;/td&gt;</v>
      </c>
      <c r="AD4" t="str">
        <f t="shared" si="1"/>
        <v>&lt;td&gt;HAM&lt;/td&gt;</v>
      </c>
      <c r="AE4" t="s">
        <v>101</v>
      </c>
      <c r="AF4" t="str">
        <f t="shared" si="5"/>
        <v>&lt;tr&gt;&lt;td&gt;Emilia Romagna&lt;/td&gt;</v>
      </c>
      <c r="AG4" t="str">
        <f t="shared" si="6"/>
        <v>&lt;tr&gt;&lt;td&gt;Emilia Romagna&lt;/td&gt;&lt;td&gt;VER&lt;/td&gt;</v>
      </c>
      <c r="AH4" t="str">
        <f t="shared" si="7"/>
        <v>&lt;tr&gt;&lt;td&gt;Emilia Romagna&lt;/td&gt;&lt;td&gt;VER&lt;/td&gt;&lt;td&gt;HAM&lt;/td&gt;</v>
      </c>
      <c r="AI4" t="str">
        <f t="shared" si="8"/>
        <v>&lt;tr&gt;&lt;td&gt;Emilia Romagna&lt;/td&gt;&lt;td&gt;VER&lt;/td&gt;&lt;td&gt;HAM&lt;/td&gt;&lt;td&gt;NOR&lt;/td&gt;</v>
      </c>
      <c r="AJ4" t="str">
        <f t="shared" si="9"/>
        <v>&lt;tr&gt;&lt;td&gt;Emilia Romagna&lt;/td&gt;&lt;td&gt;VER&lt;/td&gt;&lt;td&gt;HAM&lt;/td&gt;&lt;td&gt;NOR&lt;/td&gt;&lt;td&gt;LEC&lt;/td&gt;</v>
      </c>
      <c r="AK4" t="str">
        <f t="shared" si="10"/>
        <v>&lt;tr&gt;&lt;td&gt;Emilia Romagna&lt;/td&gt;&lt;td&gt;VER&lt;/td&gt;&lt;td&gt;HAM&lt;/td&gt;&lt;td&gt;NOR&lt;/td&gt;&lt;td&gt;LEC&lt;/td&gt;&lt;td&gt;SAI&lt;/td&gt;</v>
      </c>
      <c r="AL4" t="str">
        <f t="shared" si="11"/>
        <v>&lt;tr&gt;&lt;td&gt;Emilia Romagna&lt;/td&gt;&lt;td&gt;VER&lt;/td&gt;&lt;td&gt;HAM&lt;/td&gt;&lt;td&gt;NOR&lt;/td&gt;&lt;td&gt;LEC&lt;/td&gt;&lt;td&gt;SAI&lt;/td&gt;&lt;td&gt;RIC&lt;/td&gt;</v>
      </c>
      <c r="AM4" t="str">
        <f t="shared" si="12"/>
        <v>&lt;tr&gt;&lt;td&gt;Emilia Romagna&lt;/td&gt;&lt;td&gt;VER&lt;/td&gt;&lt;td&gt;HAM&lt;/td&gt;&lt;td&gt;NOR&lt;/td&gt;&lt;td&gt;LEC&lt;/td&gt;&lt;td&gt;SAI&lt;/td&gt;&lt;td&gt;RIC&lt;/td&gt;&lt;td&gt;GAS&lt;/td&gt;</v>
      </c>
      <c r="AN4" t="str">
        <f t="shared" si="13"/>
        <v>&lt;tr&gt;&lt;td&gt;Emilia Romagna&lt;/td&gt;&lt;td&gt;VER&lt;/td&gt;&lt;td&gt;HAM&lt;/td&gt;&lt;td&gt;NOR&lt;/td&gt;&lt;td&gt;LEC&lt;/td&gt;&lt;td&gt;SAI&lt;/td&gt;&lt;td&gt;RIC&lt;/td&gt;&lt;td&gt;GAS&lt;/td&gt;&lt;td&gt;STR&lt;/td&gt;</v>
      </c>
      <c r="AO4" t="str">
        <f t="shared" si="14"/>
        <v>&lt;tr&gt;&lt;td&gt;Emilia Romagna&lt;/td&gt;&lt;td&gt;VER&lt;/td&gt;&lt;td&gt;HAM&lt;/td&gt;&lt;td&gt;NOR&lt;/td&gt;&lt;td&gt;LEC&lt;/td&gt;&lt;td&gt;SAI&lt;/td&gt;&lt;td&gt;RIC&lt;/td&gt;&lt;td&gt;GAS&lt;/td&gt;&lt;td&gt;STR&lt;/td&gt;&lt;td&gt;OCO&lt;/td&gt;</v>
      </c>
      <c r="AP4" t="str">
        <f t="shared" si="15"/>
        <v>&lt;tr&gt;&lt;td&gt;Emilia Romagna&lt;/td&gt;&lt;td&gt;VER&lt;/td&gt;&lt;td&gt;HAM&lt;/td&gt;&lt;td&gt;NOR&lt;/td&gt;&lt;td&gt;LEC&lt;/td&gt;&lt;td&gt;SAI&lt;/td&gt;&lt;td&gt;RIC&lt;/td&gt;&lt;td&gt;GAS&lt;/td&gt;&lt;td&gt;STR&lt;/td&gt;&lt;td&gt;OCO&lt;/td&gt;&lt;td&gt;ALO&lt;/td&gt;</v>
      </c>
      <c r="AQ4" t="str">
        <f t="shared" si="16"/>
        <v>&lt;tr&gt;&lt;td&gt;Emilia Romagna&lt;/td&gt;&lt;td&gt;VER&lt;/td&gt;&lt;td&gt;HAM&lt;/td&gt;&lt;td&gt;NOR&lt;/td&gt;&lt;td&gt;LEC&lt;/td&gt;&lt;td&gt;SAI&lt;/td&gt;&lt;td&gt;RIC&lt;/td&gt;&lt;td&gt;GAS&lt;/td&gt;&lt;td&gt;STR&lt;/td&gt;&lt;td&gt;OCO&lt;/td&gt;&lt;td&gt;ALO&lt;/td&gt;&lt;td&gt;HAM&lt;/td&gt;</v>
      </c>
      <c r="AR4" t="s">
        <v>104</v>
      </c>
    </row>
    <row r="5" spans="2:44" x14ac:dyDescent="0.25">
      <c r="B5" s="3" t="s">
        <v>59</v>
      </c>
      <c r="C5" s="7">
        <v>44318</v>
      </c>
      <c r="D5" s="3">
        <v>66</v>
      </c>
      <c r="E5" s="3" t="s">
        <v>60</v>
      </c>
      <c r="F5" s="3" t="s">
        <v>84</v>
      </c>
      <c r="G5" s="3" t="s">
        <v>83</v>
      </c>
      <c r="H5" s="3" t="s">
        <v>54</v>
      </c>
      <c r="I5" s="3" t="s">
        <v>84</v>
      </c>
      <c r="J5" s="3" t="s">
        <v>85</v>
      </c>
      <c r="K5" s="3" t="s">
        <v>82</v>
      </c>
      <c r="L5" s="3" t="s">
        <v>77</v>
      </c>
      <c r="M5" s="3" t="s">
        <v>74</v>
      </c>
      <c r="N5" s="3" t="s">
        <v>73</v>
      </c>
      <c r="O5" s="3" t="s">
        <v>81</v>
      </c>
      <c r="P5" s="3" t="s">
        <v>71</v>
      </c>
      <c r="Q5" s="3" t="s">
        <v>84</v>
      </c>
      <c r="R5" t="s">
        <v>100</v>
      </c>
      <c r="S5" t="str">
        <f t="shared" si="3"/>
        <v>&lt;td&gt;Portugal&lt;/td&gt;</v>
      </c>
      <c r="T5" t="str">
        <f t="shared" si="4"/>
        <v>&lt;td&gt;HAM&lt;/td&gt;</v>
      </c>
      <c r="U5" t="str">
        <f t="shared" si="1"/>
        <v>&lt;td&gt;VER&lt;/td&gt;</v>
      </c>
      <c r="V5" t="str">
        <f t="shared" si="1"/>
        <v>&lt;td&gt;BOT&lt;/td&gt;</v>
      </c>
      <c r="W5" t="str">
        <f t="shared" si="1"/>
        <v>&lt;td&gt;PER&lt;/td&gt;</v>
      </c>
      <c r="X5" t="str">
        <f t="shared" si="1"/>
        <v>&lt;td&gt;NOR&lt;/td&gt;</v>
      </c>
      <c r="Y5" t="str">
        <f t="shared" si="1"/>
        <v>&lt;td&gt;LEC&lt;/td&gt;</v>
      </c>
      <c r="Z5" t="str">
        <f t="shared" si="1"/>
        <v>&lt;td&gt;OCO&lt;/td&gt;</v>
      </c>
      <c r="AA5" t="str">
        <f t="shared" si="1"/>
        <v>&lt;td&gt;ALO&lt;/td&gt;</v>
      </c>
      <c r="AB5" t="str">
        <f t="shared" si="1"/>
        <v>&lt;td&gt;RIC&lt;/td&gt;</v>
      </c>
      <c r="AC5" t="str">
        <f t="shared" si="1"/>
        <v>&lt;td&gt;GAS&lt;/td&gt;</v>
      </c>
      <c r="AD5" t="str">
        <f t="shared" si="1"/>
        <v>&lt;td&gt;BOT&lt;/td&gt;</v>
      </c>
      <c r="AE5" t="s">
        <v>101</v>
      </c>
      <c r="AF5" t="str">
        <f t="shared" si="5"/>
        <v>&lt;tr&gt;&lt;td&gt;Portugal&lt;/td&gt;</v>
      </c>
      <c r="AG5" t="str">
        <f t="shared" si="6"/>
        <v>&lt;tr&gt;&lt;td&gt;Portugal&lt;/td&gt;&lt;td&gt;HAM&lt;/td&gt;</v>
      </c>
      <c r="AH5" t="str">
        <f t="shared" si="7"/>
        <v>&lt;tr&gt;&lt;td&gt;Portugal&lt;/td&gt;&lt;td&gt;HAM&lt;/td&gt;&lt;td&gt;VER&lt;/td&gt;</v>
      </c>
      <c r="AI5" t="str">
        <f t="shared" si="8"/>
        <v>&lt;tr&gt;&lt;td&gt;Portugal&lt;/td&gt;&lt;td&gt;HAM&lt;/td&gt;&lt;td&gt;VER&lt;/td&gt;&lt;td&gt;BOT&lt;/td&gt;</v>
      </c>
      <c r="AJ5" t="str">
        <f t="shared" si="9"/>
        <v>&lt;tr&gt;&lt;td&gt;Portugal&lt;/td&gt;&lt;td&gt;HAM&lt;/td&gt;&lt;td&gt;VER&lt;/td&gt;&lt;td&gt;BOT&lt;/td&gt;&lt;td&gt;PER&lt;/td&gt;</v>
      </c>
      <c r="AK5" t="str">
        <f t="shared" si="10"/>
        <v>&lt;tr&gt;&lt;td&gt;Portugal&lt;/td&gt;&lt;td&gt;HAM&lt;/td&gt;&lt;td&gt;VER&lt;/td&gt;&lt;td&gt;BOT&lt;/td&gt;&lt;td&gt;PER&lt;/td&gt;&lt;td&gt;NOR&lt;/td&gt;</v>
      </c>
      <c r="AL5" t="str">
        <f t="shared" si="11"/>
        <v>&lt;tr&gt;&lt;td&gt;Portugal&lt;/td&gt;&lt;td&gt;HAM&lt;/td&gt;&lt;td&gt;VER&lt;/td&gt;&lt;td&gt;BOT&lt;/td&gt;&lt;td&gt;PER&lt;/td&gt;&lt;td&gt;NOR&lt;/td&gt;&lt;td&gt;LEC&lt;/td&gt;</v>
      </c>
      <c r="AM5" t="str">
        <f t="shared" si="12"/>
        <v>&lt;tr&gt;&lt;td&gt;Portugal&lt;/td&gt;&lt;td&gt;HAM&lt;/td&gt;&lt;td&gt;VER&lt;/td&gt;&lt;td&gt;BOT&lt;/td&gt;&lt;td&gt;PER&lt;/td&gt;&lt;td&gt;NOR&lt;/td&gt;&lt;td&gt;LEC&lt;/td&gt;&lt;td&gt;OCO&lt;/td&gt;</v>
      </c>
      <c r="AN5" t="str">
        <f t="shared" si="13"/>
        <v>&lt;tr&gt;&lt;td&gt;Portugal&lt;/td&gt;&lt;td&gt;HAM&lt;/td&gt;&lt;td&gt;VER&lt;/td&gt;&lt;td&gt;BOT&lt;/td&gt;&lt;td&gt;PER&lt;/td&gt;&lt;td&gt;NOR&lt;/td&gt;&lt;td&gt;LEC&lt;/td&gt;&lt;td&gt;OCO&lt;/td&gt;&lt;td&gt;ALO&lt;/td&gt;</v>
      </c>
      <c r="AO5" t="str">
        <f t="shared" si="14"/>
        <v>&lt;tr&gt;&lt;td&gt;Portugal&lt;/td&gt;&lt;td&gt;HAM&lt;/td&gt;&lt;td&gt;VER&lt;/td&gt;&lt;td&gt;BOT&lt;/td&gt;&lt;td&gt;PER&lt;/td&gt;&lt;td&gt;NOR&lt;/td&gt;&lt;td&gt;LEC&lt;/td&gt;&lt;td&gt;OCO&lt;/td&gt;&lt;td&gt;ALO&lt;/td&gt;&lt;td&gt;RIC&lt;/td&gt;</v>
      </c>
      <c r="AP5" t="str">
        <f t="shared" si="15"/>
        <v>&lt;tr&gt;&lt;td&gt;Portugal&lt;/td&gt;&lt;td&gt;HAM&lt;/td&gt;&lt;td&gt;VER&lt;/td&gt;&lt;td&gt;BOT&lt;/td&gt;&lt;td&gt;PER&lt;/td&gt;&lt;td&gt;NOR&lt;/td&gt;&lt;td&gt;LEC&lt;/td&gt;&lt;td&gt;OCO&lt;/td&gt;&lt;td&gt;ALO&lt;/td&gt;&lt;td&gt;RIC&lt;/td&gt;&lt;td&gt;GAS&lt;/td&gt;</v>
      </c>
      <c r="AQ5" t="str">
        <f t="shared" si="16"/>
        <v>&lt;tr&gt;&lt;td&gt;Portugal&lt;/td&gt;&lt;td&gt;HAM&lt;/td&gt;&lt;td&gt;VER&lt;/td&gt;&lt;td&gt;BOT&lt;/td&gt;&lt;td&gt;PER&lt;/td&gt;&lt;td&gt;NOR&lt;/td&gt;&lt;td&gt;LEC&lt;/td&gt;&lt;td&gt;OCO&lt;/td&gt;&lt;td&gt;ALO&lt;/td&gt;&lt;td&gt;RIC&lt;/td&gt;&lt;td&gt;GAS&lt;/td&gt;&lt;td&gt;BOT&lt;/td&gt;</v>
      </c>
      <c r="AR5" t="s">
        <v>105</v>
      </c>
    </row>
    <row r="6" spans="2:44" x14ac:dyDescent="0.25">
      <c r="B6" s="3" t="s">
        <v>61</v>
      </c>
      <c r="C6" s="7">
        <v>44325</v>
      </c>
      <c r="D6" s="3">
        <v>66</v>
      </c>
      <c r="E6" s="3" t="s">
        <v>62</v>
      </c>
      <c r="F6" s="3" t="s">
        <v>83</v>
      </c>
      <c r="G6" s="3" t="s">
        <v>83</v>
      </c>
      <c r="H6" s="3" t="s">
        <v>54</v>
      </c>
      <c r="I6" s="3" t="s">
        <v>84</v>
      </c>
      <c r="J6" s="3" t="s">
        <v>77</v>
      </c>
      <c r="K6" s="3" t="s">
        <v>85</v>
      </c>
      <c r="L6" s="3" t="s">
        <v>81</v>
      </c>
      <c r="M6" s="3" t="s">
        <v>78</v>
      </c>
      <c r="N6" s="3" t="s">
        <v>82</v>
      </c>
      <c r="O6" s="3" t="s">
        <v>74</v>
      </c>
      <c r="P6" s="3" t="s">
        <v>71</v>
      </c>
      <c r="Q6" s="3" t="s">
        <v>54</v>
      </c>
      <c r="R6" t="s">
        <v>100</v>
      </c>
      <c r="S6" t="str">
        <f t="shared" si="3"/>
        <v>&lt;td&gt;Spain&lt;/td&gt;</v>
      </c>
      <c r="T6" t="str">
        <f t="shared" si="4"/>
        <v>&lt;td&gt;HAM&lt;/td&gt;</v>
      </c>
      <c r="U6" t="str">
        <f t="shared" si="1"/>
        <v>&lt;td&gt;VER&lt;/td&gt;</v>
      </c>
      <c r="V6" t="str">
        <f t="shared" si="1"/>
        <v>&lt;td&gt;BOT&lt;/td&gt;</v>
      </c>
      <c r="W6" t="str">
        <f t="shared" si="1"/>
        <v>&lt;td&gt;LEC&lt;/td&gt;</v>
      </c>
      <c r="X6" t="str">
        <f t="shared" si="1"/>
        <v>&lt;td&gt;PER&lt;/td&gt;</v>
      </c>
      <c r="Y6" t="str">
        <f t="shared" si="1"/>
        <v>&lt;td&gt;RIC&lt;/td&gt;</v>
      </c>
      <c r="Z6" t="str">
        <f t="shared" si="1"/>
        <v>&lt;td&gt;SAI&lt;/td&gt;</v>
      </c>
      <c r="AA6" t="str">
        <f t="shared" si="1"/>
        <v>&lt;td&gt;NOR&lt;/td&gt;</v>
      </c>
      <c r="AB6" t="str">
        <f t="shared" si="1"/>
        <v>&lt;td&gt;OCO&lt;/td&gt;</v>
      </c>
      <c r="AC6" t="str">
        <f t="shared" si="1"/>
        <v>&lt;td&gt;GAS&lt;/td&gt;</v>
      </c>
      <c r="AD6" t="str">
        <f t="shared" si="1"/>
        <v>&lt;td&gt;VER&lt;/td&gt;</v>
      </c>
      <c r="AE6" t="s">
        <v>101</v>
      </c>
      <c r="AF6" t="str">
        <f t="shared" si="5"/>
        <v>&lt;tr&gt;&lt;td&gt;Spain&lt;/td&gt;</v>
      </c>
      <c r="AG6" t="str">
        <f t="shared" si="6"/>
        <v>&lt;tr&gt;&lt;td&gt;Spain&lt;/td&gt;&lt;td&gt;HAM&lt;/td&gt;</v>
      </c>
      <c r="AH6" t="str">
        <f t="shared" si="7"/>
        <v>&lt;tr&gt;&lt;td&gt;Spain&lt;/td&gt;&lt;td&gt;HAM&lt;/td&gt;&lt;td&gt;VER&lt;/td&gt;</v>
      </c>
      <c r="AI6" t="str">
        <f t="shared" si="8"/>
        <v>&lt;tr&gt;&lt;td&gt;Spain&lt;/td&gt;&lt;td&gt;HAM&lt;/td&gt;&lt;td&gt;VER&lt;/td&gt;&lt;td&gt;BOT&lt;/td&gt;</v>
      </c>
      <c r="AJ6" t="str">
        <f t="shared" si="9"/>
        <v>&lt;tr&gt;&lt;td&gt;Spain&lt;/td&gt;&lt;td&gt;HAM&lt;/td&gt;&lt;td&gt;VER&lt;/td&gt;&lt;td&gt;BOT&lt;/td&gt;&lt;td&gt;LEC&lt;/td&gt;</v>
      </c>
      <c r="AK6" t="str">
        <f t="shared" si="10"/>
        <v>&lt;tr&gt;&lt;td&gt;Spain&lt;/td&gt;&lt;td&gt;HAM&lt;/td&gt;&lt;td&gt;VER&lt;/td&gt;&lt;td&gt;BOT&lt;/td&gt;&lt;td&gt;LEC&lt;/td&gt;&lt;td&gt;PER&lt;/td&gt;</v>
      </c>
      <c r="AL6" t="str">
        <f t="shared" si="11"/>
        <v>&lt;tr&gt;&lt;td&gt;Spain&lt;/td&gt;&lt;td&gt;HAM&lt;/td&gt;&lt;td&gt;VER&lt;/td&gt;&lt;td&gt;BOT&lt;/td&gt;&lt;td&gt;LEC&lt;/td&gt;&lt;td&gt;PER&lt;/td&gt;&lt;td&gt;RIC&lt;/td&gt;</v>
      </c>
      <c r="AM6" t="str">
        <f t="shared" si="12"/>
        <v>&lt;tr&gt;&lt;td&gt;Spain&lt;/td&gt;&lt;td&gt;HAM&lt;/td&gt;&lt;td&gt;VER&lt;/td&gt;&lt;td&gt;BOT&lt;/td&gt;&lt;td&gt;LEC&lt;/td&gt;&lt;td&gt;PER&lt;/td&gt;&lt;td&gt;RIC&lt;/td&gt;&lt;td&gt;SAI&lt;/td&gt;</v>
      </c>
      <c r="AN6" t="str">
        <f t="shared" si="13"/>
        <v>&lt;tr&gt;&lt;td&gt;Spain&lt;/td&gt;&lt;td&gt;HAM&lt;/td&gt;&lt;td&gt;VER&lt;/td&gt;&lt;td&gt;BOT&lt;/td&gt;&lt;td&gt;LEC&lt;/td&gt;&lt;td&gt;PER&lt;/td&gt;&lt;td&gt;RIC&lt;/td&gt;&lt;td&gt;SAI&lt;/td&gt;&lt;td&gt;NOR&lt;/td&gt;</v>
      </c>
      <c r="AO6" t="str">
        <f t="shared" si="14"/>
        <v>&lt;tr&gt;&lt;td&gt;Spain&lt;/td&gt;&lt;td&gt;HAM&lt;/td&gt;&lt;td&gt;VER&lt;/td&gt;&lt;td&gt;BOT&lt;/td&gt;&lt;td&gt;LEC&lt;/td&gt;&lt;td&gt;PER&lt;/td&gt;&lt;td&gt;RIC&lt;/td&gt;&lt;td&gt;SAI&lt;/td&gt;&lt;td&gt;NOR&lt;/td&gt;&lt;td&gt;OCO&lt;/td&gt;</v>
      </c>
      <c r="AP6" t="str">
        <f t="shared" si="15"/>
        <v>&lt;tr&gt;&lt;td&gt;Spain&lt;/td&gt;&lt;td&gt;HAM&lt;/td&gt;&lt;td&gt;VER&lt;/td&gt;&lt;td&gt;BOT&lt;/td&gt;&lt;td&gt;LEC&lt;/td&gt;&lt;td&gt;PER&lt;/td&gt;&lt;td&gt;RIC&lt;/td&gt;&lt;td&gt;SAI&lt;/td&gt;&lt;td&gt;NOR&lt;/td&gt;&lt;td&gt;OCO&lt;/td&gt;&lt;td&gt;GAS&lt;/td&gt;</v>
      </c>
      <c r="AQ6" t="str">
        <f t="shared" si="16"/>
        <v>&lt;tr&gt;&lt;td&gt;Spain&lt;/td&gt;&lt;td&gt;HAM&lt;/td&gt;&lt;td&gt;VER&lt;/td&gt;&lt;td&gt;BOT&lt;/td&gt;&lt;td&gt;LEC&lt;/td&gt;&lt;td&gt;PER&lt;/td&gt;&lt;td&gt;RIC&lt;/td&gt;&lt;td&gt;SAI&lt;/td&gt;&lt;td&gt;NOR&lt;/td&gt;&lt;td&gt;OCO&lt;/td&gt;&lt;td&gt;GAS&lt;/td&gt;&lt;td&gt;VER&lt;/td&gt;</v>
      </c>
      <c r="AR6" t="s">
        <v>106</v>
      </c>
    </row>
    <row r="7" spans="2:44" x14ac:dyDescent="0.25">
      <c r="B7" s="3" t="s">
        <v>63</v>
      </c>
      <c r="C7" s="7">
        <v>44339</v>
      </c>
      <c r="D7" s="3">
        <v>78</v>
      </c>
      <c r="E7" s="3" t="s">
        <v>64</v>
      </c>
      <c r="F7" s="3" t="s">
        <v>77</v>
      </c>
      <c r="G7" s="3" t="s">
        <v>54</v>
      </c>
      <c r="H7" s="3" t="s">
        <v>78</v>
      </c>
      <c r="I7" s="3" t="s">
        <v>82</v>
      </c>
      <c r="J7" s="3" t="s">
        <v>85</v>
      </c>
      <c r="K7" s="3" t="s">
        <v>75</v>
      </c>
      <c r="L7" s="3" t="s">
        <v>71</v>
      </c>
      <c r="M7" s="3" t="s">
        <v>83</v>
      </c>
      <c r="N7" s="3" t="s">
        <v>76</v>
      </c>
      <c r="O7" s="3" t="s">
        <v>74</v>
      </c>
      <c r="P7" s="3" t="s">
        <v>70</v>
      </c>
      <c r="Q7" s="3" t="s">
        <v>83</v>
      </c>
      <c r="R7" t="s">
        <v>100</v>
      </c>
      <c r="S7" t="str">
        <f t="shared" si="3"/>
        <v>&lt;td&gt;Monaco&lt;/td&gt;</v>
      </c>
      <c r="T7" t="str">
        <f t="shared" si="4"/>
        <v>&lt;td&gt;VER&lt;/td&gt;</v>
      </c>
      <c r="U7" t="str">
        <f t="shared" si="1"/>
        <v>&lt;td&gt;SAI&lt;/td&gt;</v>
      </c>
      <c r="V7" t="str">
        <f t="shared" si="1"/>
        <v>&lt;td&gt;NOR&lt;/td&gt;</v>
      </c>
      <c r="W7" t="str">
        <f t="shared" si="1"/>
        <v>&lt;td&gt;PER&lt;/td&gt;</v>
      </c>
      <c r="X7" t="str">
        <f t="shared" si="1"/>
        <v>&lt;td&gt;VET&lt;/td&gt;</v>
      </c>
      <c r="Y7" t="str">
        <f t="shared" si="1"/>
        <v>&lt;td&gt;GAS&lt;/td&gt;</v>
      </c>
      <c r="Z7" t="str">
        <f t="shared" si="1"/>
        <v>&lt;td&gt;HAM&lt;/td&gt;</v>
      </c>
      <c r="AA7" t="str">
        <f t="shared" si="1"/>
        <v>&lt;td&gt;STR&lt;/td&gt;</v>
      </c>
      <c r="AB7" t="str">
        <f t="shared" si="1"/>
        <v>&lt;td&gt;OCO&lt;/td&gt;</v>
      </c>
      <c r="AC7" t="str">
        <f t="shared" si="1"/>
        <v>&lt;td&gt;GIO&lt;/td&gt;</v>
      </c>
      <c r="AD7" t="str">
        <f t="shared" si="1"/>
        <v>&lt;td&gt;HAM&lt;/td&gt;</v>
      </c>
      <c r="AE7" t="s">
        <v>101</v>
      </c>
      <c r="AF7" t="str">
        <f t="shared" si="5"/>
        <v>&lt;tr&gt;&lt;td&gt;Monaco&lt;/td&gt;</v>
      </c>
      <c r="AG7" t="str">
        <f t="shared" si="6"/>
        <v>&lt;tr&gt;&lt;td&gt;Monaco&lt;/td&gt;&lt;td&gt;VER&lt;/td&gt;</v>
      </c>
      <c r="AH7" t="str">
        <f t="shared" si="7"/>
        <v>&lt;tr&gt;&lt;td&gt;Monaco&lt;/td&gt;&lt;td&gt;VER&lt;/td&gt;&lt;td&gt;SAI&lt;/td&gt;</v>
      </c>
      <c r="AI7" t="str">
        <f t="shared" si="8"/>
        <v>&lt;tr&gt;&lt;td&gt;Monaco&lt;/td&gt;&lt;td&gt;VER&lt;/td&gt;&lt;td&gt;SAI&lt;/td&gt;&lt;td&gt;NOR&lt;/td&gt;</v>
      </c>
      <c r="AJ7" t="str">
        <f t="shared" si="9"/>
        <v>&lt;tr&gt;&lt;td&gt;Monaco&lt;/td&gt;&lt;td&gt;VER&lt;/td&gt;&lt;td&gt;SAI&lt;/td&gt;&lt;td&gt;NOR&lt;/td&gt;&lt;td&gt;PER&lt;/td&gt;</v>
      </c>
      <c r="AK7" t="str">
        <f t="shared" si="10"/>
        <v>&lt;tr&gt;&lt;td&gt;Monaco&lt;/td&gt;&lt;td&gt;VER&lt;/td&gt;&lt;td&gt;SAI&lt;/td&gt;&lt;td&gt;NOR&lt;/td&gt;&lt;td&gt;PER&lt;/td&gt;&lt;td&gt;VET&lt;/td&gt;</v>
      </c>
      <c r="AL7" t="str">
        <f t="shared" si="11"/>
        <v>&lt;tr&gt;&lt;td&gt;Monaco&lt;/td&gt;&lt;td&gt;VER&lt;/td&gt;&lt;td&gt;SAI&lt;/td&gt;&lt;td&gt;NOR&lt;/td&gt;&lt;td&gt;PER&lt;/td&gt;&lt;td&gt;VET&lt;/td&gt;&lt;td&gt;GAS&lt;/td&gt;</v>
      </c>
      <c r="AM7" t="str">
        <f t="shared" si="12"/>
        <v>&lt;tr&gt;&lt;td&gt;Monaco&lt;/td&gt;&lt;td&gt;VER&lt;/td&gt;&lt;td&gt;SAI&lt;/td&gt;&lt;td&gt;NOR&lt;/td&gt;&lt;td&gt;PER&lt;/td&gt;&lt;td&gt;VET&lt;/td&gt;&lt;td&gt;GAS&lt;/td&gt;&lt;td&gt;HAM&lt;/td&gt;</v>
      </c>
      <c r="AN7" t="str">
        <f t="shared" si="13"/>
        <v>&lt;tr&gt;&lt;td&gt;Monaco&lt;/td&gt;&lt;td&gt;VER&lt;/td&gt;&lt;td&gt;SAI&lt;/td&gt;&lt;td&gt;NOR&lt;/td&gt;&lt;td&gt;PER&lt;/td&gt;&lt;td&gt;VET&lt;/td&gt;&lt;td&gt;GAS&lt;/td&gt;&lt;td&gt;HAM&lt;/td&gt;&lt;td&gt;STR&lt;/td&gt;</v>
      </c>
      <c r="AO7" t="str">
        <f t="shared" si="14"/>
        <v>&lt;tr&gt;&lt;td&gt;Monaco&lt;/td&gt;&lt;td&gt;VER&lt;/td&gt;&lt;td&gt;SAI&lt;/td&gt;&lt;td&gt;NOR&lt;/td&gt;&lt;td&gt;PER&lt;/td&gt;&lt;td&gt;VET&lt;/td&gt;&lt;td&gt;GAS&lt;/td&gt;&lt;td&gt;HAM&lt;/td&gt;&lt;td&gt;STR&lt;/td&gt;&lt;td&gt;OCO&lt;/td&gt;</v>
      </c>
      <c r="AP7" t="str">
        <f t="shared" si="15"/>
        <v>&lt;tr&gt;&lt;td&gt;Monaco&lt;/td&gt;&lt;td&gt;VER&lt;/td&gt;&lt;td&gt;SAI&lt;/td&gt;&lt;td&gt;NOR&lt;/td&gt;&lt;td&gt;PER&lt;/td&gt;&lt;td&gt;VET&lt;/td&gt;&lt;td&gt;GAS&lt;/td&gt;&lt;td&gt;HAM&lt;/td&gt;&lt;td&gt;STR&lt;/td&gt;&lt;td&gt;OCO&lt;/td&gt;&lt;td&gt;GIO&lt;/td&gt;</v>
      </c>
      <c r="AQ7" t="str">
        <f t="shared" si="16"/>
        <v>&lt;tr&gt;&lt;td&gt;Monaco&lt;/td&gt;&lt;td&gt;VER&lt;/td&gt;&lt;td&gt;SAI&lt;/td&gt;&lt;td&gt;NOR&lt;/td&gt;&lt;td&gt;PER&lt;/td&gt;&lt;td&gt;VET&lt;/td&gt;&lt;td&gt;GAS&lt;/td&gt;&lt;td&gt;HAM&lt;/td&gt;&lt;td&gt;STR&lt;/td&gt;&lt;td&gt;OCO&lt;/td&gt;&lt;td&gt;GIO&lt;/td&gt;&lt;td&gt;HAM&lt;/td&gt;</v>
      </c>
      <c r="AR7" t="s">
        <v>107</v>
      </c>
    </row>
    <row r="8" spans="2:44" x14ac:dyDescent="0.25">
      <c r="B8" s="3" t="s">
        <v>65</v>
      </c>
      <c r="C8" s="7">
        <v>44353</v>
      </c>
      <c r="D8" s="3">
        <v>51</v>
      </c>
      <c r="E8" s="3" t="s">
        <v>66</v>
      </c>
      <c r="F8" s="3" t="s">
        <v>77</v>
      </c>
      <c r="G8" s="3" t="s">
        <v>85</v>
      </c>
      <c r="H8" s="3" t="s">
        <v>75</v>
      </c>
      <c r="I8" s="3" t="s">
        <v>71</v>
      </c>
      <c r="J8" s="3" t="s">
        <v>77</v>
      </c>
      <c r="K8" s="3" t="s">
        <v>82</v>
      </c>
      <c r="L8" s="3" t="s">
        <v>73</v>
      </c>
      <c r="M8" s="3" t="s">
        <v>72</v>
      </c>
      <c r="N8" s="3" t="s">
        <v>78</v>
      </c>
      <c r="O8" s="3" t="s">
        <v>81</v>
      </c>
      <c r="P8" s="3" t="s">
        <v>69</v>
      </c>
      <c r="Q8" s="3" t="s">
        <v>98</v>
      </c>
      <c r="R8" t="s">
        <v>100</v>
      </c>
      <c r="S8" t="str">
        <f t="shared" si="3"/>
        <v>&lt;td&gt;Azerbaijan&lt;/td&gt;</v>
      </c>
      <c r="T8" t="str">
        <f t="shared" si="4"/>
        <v>&lt;td&gt;PER&lt;/td&gt;</v>
      </c>
      <c r="U8" t="str">
        <f t="shared" si="1"/>
        <v>&lt;td&gt;VET&lt;/td&gt;</v>
      </c>
      <c r="V8" t="str">
        <f t="shared" si="1"/>
        <v>&lt;td&gt;GAS&lt;/td&gt;</v>
      </c>
      <c r="W8" t="str">
        <f t="shared" si="1"/>
        <v>&lt;td&gt;LEC&lt;/td&gt;</v>
      </c>
      <c r="X8" t="str">
        <f t="shared" si="1"/>
        <v>&lt;td&gt;NOR&lt;/td&gt;</v>
      </c>
      <c r="Y8" t="str">
        <f t="shared" si="1"/>
        <v>&lt;td&gt;ALO&lt;/td&gt;</v>
      </c>
      <c r="Z8" t="str">
        <f t="shared" si="1"/>
        <v>&lt;td&gt;TSU&lt;/td&gt;</v>
      </c>
      <c r="AA8" t="str">
        <f t="shared" si="1"/>
        <v>&lt;td&gt;SAI&lt;/td&gt;</v>
      </c>
      <c r="AB8" t="str">
        <f t="shared" si="1"/>
        <v>&lt;td&gt;RIC&lt;/td&gt;</v>
      </c>
      <c r="AC8" t="str">
        <f t="shared" si="1"/>
        <v>&lt;td&gt;RAI&lt;/td&gt;</v>
      </c>
      <c r="AD8" t="str">
        <f t="shared" si="1"/>
        <v>&lt;td&gt;-&lt;/td&gt;</v>
      </c>
      <c r="AE8" t="s">
        <v>101</v>
      </c>
      <c r="AF8" t="str">
        <f t="shared" si="5"/>
        <v>&lt;tr&gt;&lt;td&gt;Azerbaijan&lt;/td&gt;</v>
      </c>
      <c r="AG8" t="str">
        <f t="shared" si="6"/>
        <v>&lt;tr&gt;&lt;td&gt;Azerbaijan&lt;/td&gt;&lt;td&gt;PER&lt;/td&gt;</v>
      </c>
      <c r="AH8" t="str">
        <f t="shared" si="7"/>
        <v>&lt;tr&gt;&lt;td&gt;Azerbaijan&lt;/td&gt;&lt;td&gt;PER&lt;/td&gt;&lt;td&gt;VET&lt;/td&gt;</v>
      </c>
      <c r="AI8" t="str">
        <f t="shared" si="8"/>
        <v>&lt;tr&gt;&lt;td&gt;Azerbaijan&lt;/td&gt;&lt;td&gt;PER&lt;/td&gt;&lt;td&gt;VET&lt;/td&gt;&lt;td&gt;GAS&lt;/td&gt;</v>
      </c>
      <c r="AJ8" t="str">
        <f t="shared" si="9"/>
        <v>&lt;tr&gt;&lt;td&gt;Azerbaijan&lt;/td&gt;&lt;td&gt;PER&lt;/td&gt;&lt;td&gt;VET&lt;/td&gt;&lt;td&gt;GAS&lt;/td&gt;&lt;td&gt;LEC&lt;/td&gt;</v>
      </c>
      <c r="AK8" t="str">
        <f t="shared" si="10"/>
        <v>&lt;tr&gt;&lt;td&gt;Azerbaijan&lt;/td&gt;&lt;td&gt;PER&lt;/td&gt;&lt;td&gt;VET&lt;/td&gt;&lt;td&gt;GAS&lt;/td&gt;&lt;td&gt;LEC&lt;/td&gt;&lt;td&gt;NOR&lt;/td&gt;</v>
      </c>
      <c r="AL8" t="str">
        <f t="shared" si="11"/>
        <v>&lt;tr&gt;&lt;td&gt;Azerbaijan&lt;/td&gt;&lt;td&gt;PER&lt;/td&gt;&lt;td&gt;VET&lt;/td&gt;&lt;td&gt;GAS&lt;/td&gt;&lt;td&gt;LEC&lt;/td&gt;&lt;td&gt;NOR&lt;/td&gt;&lt;td&gt;ALO&lt;/td&gt;</v>
      </c>
      <c r="AM8" t="str">
        <f t="shared" si="12"/>
        <v>&lt;tr&gt;&lt;td&gt;Azerbaijan&lt;/td&gt;&lt;td&gt;PER&lt;/td&gt;&lt;td&gt;VET&lt;/td&gt;&lt;td&gt;GAS&lt;/td&gt;&lt;td&gt;LEC&lt;/td&gt;&lt;td&gt;NOR&lt;/td&gt;&lt;td&gt;ALO&lt;/td&gt;&lt;td&gt;TSU&lt;/td&gt;</v>
      </c>
      <c r="AN8" t="str">
        <f t="shared" si="13"/>
        <v>&lt;tr&gt;&lt;td&gt;Azerbaijan&lt;/td&gt;&lt;td&gt;PER&lt;/td&gt;&lt;td&gt;VET&lt;/td&gt;&lt;td&gt;GAS&lt;/td&gt;&lt;td&gt;LEC&lt;/td&gt;&lt;td&gt;NOR&lt;/td&gt;&lt;td&gt;ALO&lt;/td&gt;&lt;td&gt;TSU&lt;/td&gt;&lt;td&gt;SAI&lt;/td&gt;</v>
      </c>
      <c r="AO8" t="str">
        <f t="shared" si="14"/>
        <v>&lt;tr&gt;&lt;td&gt;Azerbaijan&lt;/td&gt;&lt;td&gt;PER&lt;/td&gt;&lt;td&gt;VET&lt;/td&gt;&lt;td&gt;GAS&lt;/td&gt;&lt;td&gt;LEC&lt;/td&gt;&lt;td&gt;NOR&lt;/td&gt;&lt;td&gt;ALO&lt;/td&gt;&lt;td&gt;TSU&lt;/td&gt;&lt;td&gt;SAI&lt;/td&gt;&lt;td&gt;RIC&lt;/td&gt;</v>
      </c>
      <c r="AP8" t="str">
        <f t="shared" si="15"/>
        <v>&lt;tr&gt;&lt;td&gt;Azerbaijan&lt;/td&gt;&lt;td&gt;PER&lt;/td&gt;&lt;td&gt;VET&lt;/td&gt;&lt;td&gt;GAS&lt;/td&gt;&lt;td&gt;LEC&lt;/td&gt;&lt;td&gt;NOR&lt;/td&gt;&lt;td&gt;ALO&lt;/td&gt;&lt;td&gt;TSU&lt;/td&gt;&lt;td&gt;SAI&lt;/td&gt;&lt;td&gt;RIC&lt;/td&gt;&lt;td&gt;RAI&lt;/td&gt;</v>
      </c>
      <c r="AQ8" t="str">
        <f t="shared" si="16"/>
        <v>&lt;tr&gt;&lt;td&gt;Azerbaijan&lt;/td&gt;&lt;td&gt;PER&lt;/td&gt;&lt;td&gt;VET&lt;/td&gt;&lt;td&gt;GAS&lt;/td&gt;&lt;td&gt;LEC&lt;/td&gt;&lt;td&gt;NOR&lt;/td&gt;&lt;td&gt;ALO&lt;/td&gt;&lt;td&gt;TSU&lt;/td&gt;&lt;td&gt;SAI&lt;/td&gt;&lt;td&gt;RIC&lt;/td&gt;&lt;td&gt;RAI&lt;/td&gt;&lt;td&gt;-&lt;/td&gt;</v>
      </c>
      <c r="AR8" t="s">
        <v>108</v>
      </c>
    </row>
    <row r="9" spans="2:44" x14ac:dyDescent="0.25">
      <c r="B9" s="3" t="s">
        <v>67</v>
      </c>
      <c r="C9" s="7">
        <v>44367</v>
      </c>
      <c r="D9" s="3">
        <v>53</v>
      </c>
      <c r="E9" s="3" t="s">
        <v>68</v>
      </c>
      <c r="F9" s="3" t="s">
        <v>54</v>
      </c>
      <c r="G9" s="3" t="s">
        <v>54</v>
      </c>
      <c r="H9" s="3" t="s">
        <v>83</v>
      </c>
      <c r="I9" s="3" t="s">
        <v>85</v>
      </c>
      <c r="J9" s="3" t="s">
        <v>84</v>
      </c>
      <c r="K9" s="3" t="s">
        <v>82</v>
      </c>
      <c r="L9" s="3" t="s">
        <v>81</v>
      </c>
      <c r="M9" s="3" t="s">
        <v>71</v>
      </c>
      <c r="N9" s="3" t="s">
        <v>73</v>
      </c>
      <c r="O9" s="3" t="s">
        <v>75</v>
      </c>
      <c r="P9" s="3" t="s">
        <v>76</v>
      </c>
      <c r="Q9" s="3" t="s">
        <v>54</v>
      </c>
      <c r="R9" t="s">
        <v>100</v>
      </c>
      <c r="S9" t="str">
        <f t="shared" si="3"/>
        <v>&lt;td&gt;France&lt;/td&gt;</v>
      </c>
      <c r="T9" t="str">
        <f t="shared" si="4"/>
        <v>&lt;td&gt;VER&lt;/td&gt;</v>
      </c>
      <c r="U9" t="str">
        <f t="shared" si="1"/>
        <v>&lt;td&gt;HAM&lt;/td&gt;</v>
      </c>
      <c r="V9" t="str">
        <f t="shared" si="1"/>
        <v>&lt;td&gt;PER&lt;/td&gt;</v>
      </c>
      <c r="W9" t="str">
        <f t="shared" si="1"/>
        <v>&lt;td&gt;BOT&lt;/td&gt;</v>
      </c>
      <c r="X9" t="str">
        <f t="shared" si="1"/>
        <v>&lt;td&gt;NOR&lt;/td&gt;</v>
      </c>
      <c r="Y9" t="str">
        <f t="shared" si="1"/>
        <v>&lt;td&gt;RIC&lt;/td&gt;</v>
      </c>
      <c r="Z9" t="str">
        <f t="shared" si="1"/>
        <v>&lt;td&gt;GAS&lt;/td&gt;</v>
      </c>
      <c r="AA9" t="str">
        <f t="shared" si="1"/>
        <v>&lt;td&gt;ALO&lt;/td&gt;</v>
      </c>
      <c r="AB9" t="str">
        <f t="shared" si="1"/>
        <v>&lt;td&gt;VET&lt;/td&gt;</v>
      </c>
      <c r="AC9" t="str">
        <f t="shared" si="1"/>
        <v>&lt;td&gt;STR&lt;/td&gt;</v>
      </c>
      <c r="AD9" t="str">
        <f t="shared" si="1"/>
        <v>&lt;td&gt;VER&lt;/td&gt;</v>
      </c>
      <c r="AE9" t="s">
        <v>101</v>
      </c>
      <c r="AF9" t="str">
        <f t="shared" si="5"/>
        <v>&lt;tr&gt;&lt;td&gt;France&lt;/td&gt;</v>
      </c>
      <c r="AG9" t="str">
        <f t="shared" si="6"/>
        <v>&lt;tr&gt;&lt;td&gt;France&lt;/td&gt;&lt;td&gt;VER&lt;/td&gt;</v>
      </c>
      <c r="AH9" t="str">
        <f t="shared" si="7"/>
        <v>&lt;tr&gt;&lt;td&gt;France&lt;/td&gt;&lt;td&gt;VER&lt;/td&gt;&lt;td&gt;HAM&lt;/td&gt;</v>
      </c>
      <c r="AI9" t="str">
        <f t="shared" si="8"/>
        <v>&lt;tr&gt;&lt;td&gt;France&lt;/td&gt;&lt;td&gt;VER&lt;/td&gt;&lt;td&gt;HAM&lt;/td&gt;&lt;td&gt;PER&lt;/td&gt;</v>
      </c>
      <c r="AJ9" t="str">
        <f t="shared" si="9"/>
        <v>&lt;tr&gt;&lt;td&gt;France&lt;/td&gt;&lt;td&gt;VER&lt;/td&gt;&lt;td&gt;HAM&lt;/td&gt;&lt;td&gt;PER&lt;/td&gt;&lt;td&gt;BOT&lt;/td&gt;</v>
      </c>
      <c r="AK9" t="str">
        <f t="shared" si="10"/>
        <v>&lt;tr&gt;&lt;td&gt;France&lt;/td&gt;&lt;td&gt;VER&lt;/td&gt;&lt;td&gt;HAM&lt;/td&gt;&lt;td&gt;PER&lt;/td&gt;&lt;td&gt;BOT&lt;/td&gt;&lt;td&gt;NOR&lt;/td&gt;</v>
      </c>
      <c r="AL9" t="str">
        <f t="shared" si="11"/>
        <v>&lt;tr&gt;&lt;td&gt;France&lt;/td&gt;&lt;td&gt;VER&lt;/td&gt;&lt;td&gt;HAM&lt;/td&gt;&lt;td&gt;PER&lt;/td&gt;&lt;td&gt;BOT&lt;/td&gt;&lt;td&gt;NOR&lt;/td&gt;&lt;td&gt;RIC&lt;/td&gt;</v>
      </c>
      <c r="AM9" t="str">
        <f t="shared" si="12"/>
        <v>&lt;tr&gt;&lt;td&gt;France&lt;/td&gt;&lt;td&gt;VER&lt;/td&gt;&lt;td&gt;HAM&lt;/td&gt;&lt;td&gt;PER&lt;/td&gt;&lt;td&gt;BOT&lt;/td&gt;&lt;td&gt;NOR&lt;/td&gt;&lt;td&gt;RIC&lt;/td&gt;&lt;td&gt;GAS&lt;/td&gt;</v>
      </c>
      <c r="AN9" t="str">
        <f t="shared" si="13"/>
        <v>&lt;tr&gt;&lt;td&gt;France&lt;/td&gt;&lt;td&gt;VER&lt;/td&gt;&lt;td&gt;HAM&lt;/td&gt;&lt;td&gt;PER&lt;/td&gt;&lt;td&gt;BOT&lt;/td&gt;&lt;td&gt;NOR&lt;/td&gt;&lt;td&gt;RIC&lt;/td&gt;&lt;td&gt;GAS&lt;/td&gt;&lt;td&gt;ALO&lt;/td&gt;</v>
      </c>
      <c r="AO9" t="str">
        <f t="shared" si="14"/>
        <v>&lt;tr&gt;&lt;td&gt;France&lt;/td&gt;&lt;td&gt;VER&lt;/td&gt;&lt;td&gt;HAM&lt;/td&gt;&lt;td&gt;PER&lt;/td&gt;&lt;td&gt;BOT&lt;/td&gt;&lt;td&gt;NOR&lt;/td&gt;&lt;td&gt;RIC&lt;/td&gt;&lt;td&gt;GAS&lt;/td&gt;&lt;td&gt;ALO&lt;/td&gt;&lt;td&gt;VET&lt;/td&gt;</v>
      </c>
      <c r="AP9" t="str">
        <f t="shared" si="15"/>
        <v>&lt;tr&gt;&lt;td&gt;France&lt;/td&gt;&lt;td&gt;VER&lt;/td&gt;&lt;td&gt;HAM&lt;/td&gt;&lt;td&gt;PER&lt;/td&gt;&lt;td&gt;BOT&lt;/td&gt;&lt;td&gt;NOR&lt;/td&gt;&lt;td&gt;RIC&lt;/td&gt;&lt;td&gt;GAS&lt;/td&gt;&lt;td&gt;ALO&lt;/td&gt;&lt;td&gt;VET&lt;/td&gt;&lt;td&gt;STR&lt;/td&gt;</v>
      </c>
      <c r="AQ9" t="str">
        <f t="shared" si="16"/>
        <v>&lt;tr&gt;&lt;td&gt;France&lt;/td&gt;&lt;td&gt;VER&lt;/td&gt;&lt;td&gt;HAM&lt;/td&gt;&lt;td&gt;PER&lt;/td&gt;&lt;td&gt;BOT&lt;/td&gt;&lt;td&gt;NOR&lt;/td&gt;&lt;td&gt;RIC&lt;/td&gt;&lt;td&gt;GAS&lt;/td&gt;&lt;td&gt;ALO&lt;/td&gt;&lt;td&gt;VET&lt;/td&gt;&lt;td&gt;STR&lt;/td&gt;&lt;td&gt;VER&lt;/td&gt;</v>
      </c>
      <c r="AR9" t="s">
        <v>109</v>
      </c>
    </row>
    <row r="11" spans="2:44" x14ac:dyDescent="0.25">
      <c r="E11" s="8" t="s">
        <v>99</v>
      </c>
    </row>
    <row r="12" spans="2:44" x14ac:dyDescent="0.25">
      <c r="G12" s="4">
        <v>25</v>
      </c>
      <c r="H12" s="4">
        <v>18</v>
      </c>
      <c r="I12" s="4">
        <v>15</v>
      </c>
      <c r="J12" s="4">
        <v>12</v>
      </c>
      <c r="K12" s="4">
        <v>10</v>
      </c>
      <c r="L12" s="4">
        <v>8</v>
      </c>
      <c r="M12" s="4">
        <v>6</v>
      </c>
      <c r="N12" s="4">
        <v>4</v>
      </c>
      <c r="O12" s="4">
        <v>2</v>
      </c>
      <c r="P12" s="4">
        <v>1</v>
      </c>
      <c r="Q12" s="4">
        <v>1</v>
      </c>
    </row>
    <row r="13" spans="2:44" x14ac:dyDescent="0.25">
      <c r="G13" s="4">
        <v>25</v>
      </c>
      <c r="H13" s="4">
        <v>18</v>
      </c>
      <c r="I13" s="4">
        <v>15</v>
      </c>
      <c r="J13" s="4">
        <v>12</v>
      </c>
      <c r="K13" s="4">
        <v>10</v>
      </c>
      <c r="L13" s="4">
        <v>8</v>
      </c>
      <c r="M13" s="4">
        <v>6</v>
      </c>
      <c r="N13" s="4">
        <v>4</v>
      </c>
      <c r="O13" s="4">
        <v>2</v>
      </c>
      <c r="P13" s="4">
        <v>1</v>
      </c>
      <c r="Q13" s="4">
        <v>1</v>
      </c>
    </row>
    <row r="14" spans="2:44" x14ac:dyDescent="0.25">
      <c r="G14" s="4">
        <v>25</v>
      </c>
      <c r="H14" s="4">
        <v>18</v>
      </c>
      <c r="I14" s="4">
        <v>15</v>
      </c>
      <c r="J14" s="4">
        <v>12</v>
      </c>
      <c r="K14" s="4">
        <v>10</v>
      </c>
      <c r="L14" s="4">
        <v>8</v>
      </c>
      <c r="M14" s="4">
        <v>6</v>
      </c>
      <c r="N14" s="4">
        <v>4</v>
      </c>
      <c r="O14" s="4">
        <v>2</v>
      </c>
      <c r="P14" s="4">
        <v>1</v>
      </c>
      <c r="Q14" s="4">
        <v>1</v>
      </c>
    </row>
    <row r="15" spans="2:44" x14ac:dyDescent="0.25">
      <c r="G15" s="4">
        <v>25</v>
      </c>
      <c r="H15" s="4">
        <v>18</v>
      </c>
      <c r="I15" s="4">
        <v>15</v>
      </c>
      <c r="J15" s="4">
        <v>12</v>
      </c>
      <c r="K15" s="4">
        <v>10</v>
      </c>
      <c r="L15" s="4">
        <v>8</v>
      </c>
      <c r="M15" s="4">
        <v>6</v>
      </c>
      <c r="N15" s="4">
        <v>4</v>
      </c>
      <c r="O15" s="4">
        <v>2</v>
      </c>
      <c r="P15" s="4">
        <v>1</v>
      </c>
      <c r="Q15" s="4">
        <v>1</v>
      </c>
    </row>
    <row r="16" spans="2:44" x14ac:dyDescent="0.25">
      <c r="G16" s="4">
        <v>25</v>
      </c>
      <c r="H16" s="4">
        <v>18</v>
      </c>
      <c r="I16" s="4">
        <v>15</v>
      </c>
      <c r="J16" s="4">
        <v>12</v>
      </c>
      <c r="K16" s="4">
        <v>10</v>
      </c>
      <c r="L16" s="4">
        <v>8</v>
      </c>
      <c r="M16" s="4">
        <v>6</v>
      </c>
      <c r="N16" s="4">
        <v>4</v>
      </c>
      <c r="O16" s="4">
        <v>2</v>
      </c>
      <c r="P16" s="4">
        <v>1</v>
      </c>
      <c r="Q16" s="4">
        <v>1</v>
      </c>
    </row>
    <row r="17" spans="1:29" x14ac:dyDescent="0.25">
      <c r="G17" s="4">
        <v>25</v>
      </c>
      <c r="H17" s="4">
        <v>18</v>
      </c>
      <c r="I17" s="4">
        <v>15</v>
      </c>
      <c r="J17" s="4">
        <v>12</v>
      </c>
      <c r="K17" s="4">
        <v>10</v>
      </c>
      <c r="L17" s="4">
        <v>8</v>
      </c>
      <c r="M17" s="4">
        <v>6</v>
      </c>
      <c r="N17" s="4">
        <v>4</v>
      </c>
      <c r="O17" s="4">
        <v>2</v>
      </c>
      <c r="P17" s="4">
        <v>1</v>
      </c>
      <c r="Q17" s="4">
        <v>1</v>
      </c>
    </row>
    <row r="18" spans="1:29" x14ac:dyDescent="0.25">
      <c r="G18" s="4">
        <v>25</v>
      </c>
      <c r="H18" s="4">
        <v>18</v>
      </c>
      <c r="I18" s="4">
        <v>15</v>
      </c>
      <c r="J18" s="4">
        <v>12</v>
      </c>
      <c r="K18" s="4">
        <v>10</v>
      </c>
      <c r="L18" s="4">
        <v>8</v>
      </c>
      <c r="M18" s="4">
        <v>6</v>
      </c>
      <c r="N18" s="4">
        <v>4</v>
      </c>
      <c r="O18" s="4">
        <v>2</v>
      </c>
      <c r="P18" s="4">
        <v>1</v>
      </c>
      <c r="Q18" s="4">
        <v>1</v>
      </c>
    </row>
    <row r="19" spans="1:29" x14ac:dyDescent="0.25"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</row>
    <row r="21" spans="1:29" x14ac:dyDescent="0.25">
      <c r="A21" t="s">
        <v>110</v>
      </c>
      <c r="B21" t="str">
        <f>B3&amp;","</f>
        <v>Bahrain,</v>
      </c>
      <c r="C21" t="str">
        <f t="shared" ref="C21:P21" si="17">C3&amp;","</f>
        <v>44283,</v>
      </c>
      <c r="D21" t="str">
        <f t="shared" si="17"/>
        <v>56,</v>
      </c>
      <c r="E21" t="str">
        <f t="shared" si="17"/>
        <v>1:32:03.897,</v>
      </c>
      <c r="F21" t="str">
        <f t="shared" si="17"/>
        <v>VER,</v>
      </c>
      <c r="G21" t="str">
        <f t="shared" si="17"/>
        <v>HAM,</v>
      </c>
      <c r="H21" t="str">
        <f t="shared" si="17"/>
        <v>VER,</v>
      </c>
      <c r="I21" t="str">
        <f t="shared" si="17"/>
        <v>BOT,</v>
      </c>
      <c r="J21" t="str">
        <f t="shared" si="17"/>
        <v>NOR,</v>
      </c>
      <c r="K21" t="str">
        <f t="shared" si="17"/>
        <v>PER,</v>
      </c>
      <c r="L21" t="str">
        <f t="shared" si="17"/>
        <v>LEC,</v>
      </c>
      <c r="M21" t="str">
        <f t="shared" si="17"/>
        <v>RIC,</v>
      </c>
      <c r="N21" t="str">
        <f t="shared" si="17"/>
        <v>SAI,</v>
      </c>
      <c r="O21" t="str">
        <f t="shared" si="17"/>
        <v>TSU,</v>
      </c>
      <c r="P21" t="str">
        <f t="shared" si="17"/>
        <v>STR,</v>
      </c>
      <c r="Q21" t="str">
        <f>Q3&amp;"]"</f>
        <v>BOT]</v>
      </c>
      <c r="R21" t="str">
        <f>"var "&amp;B21&amp;" = ["&amp;B21&amp;F21</f>
        <v>var Bahrain, = [Bahrain,VER,</v>
      </c>
      <c r="S21" t="str">
        <f>R21&amp;G21</f>
        <v>var Bahrain, = [Bahrain,VER,HAM,</v>
      </c>
      <c r="T21" t="str">
        <f t="shared" ref="T21:AC21" si="18">S21&amp;H21</f>
        <v>var Bahrain, = [Bahrain,VER,HAM,VER,</v>
      </c>
      <c r="U21" t="str">
        <f t="shared" si="18"/>
        <v>var Bahrain, = [Bahrain,VER,HAM,VER,BOT,</v>
      </c>
      <c r="V21" t="str">
        <f t="shared" si="18"/>
        <v>var Bahrain, = [Bahrain,VER,HAM,VER,BOT,NOR,</v>
      </c>
      <c r="W21" t="str">
        <f t="shared" si="18"/>
        <v>var Bahrain, = [Bahrain,VER,HAM,VER,BOT,NOR,PER,</v>
      </c>
      <c r="X21" t="str">
        <f t="shared" si="18"/>
        <v>var Bahrain, = [Bahrain,VER,HAM,VER,BOT,NOR,PER,LEC,</v>
      </c>
      <c r="Y21" t="str">
        <f t="shared" si="18"/>
        <v>var Bahrain, = [Bahrain,VER,HAM,VER,BOT,NOR,PER,LEC,RIC,</v>
      </c>
      <c r="Z21" t="str">
        <f t="shared" si="18"/>
        <v>var Bahrain, = [Bahrain,VER,HAM,VER,BOT,NOR,PER,LEC,RIC,SAI,</v>
      </c>
      <c r="AA21" t="str">
        <f t="shared" si="18"/>
        <v>var Bahrain, = [Bahrain,VER,HAM,VER,BOT,NOR,PER,LEC,RIC,SAI,TSU,</v>
      </c>
      <c r="AB21" t="str">
        <f t="shared" si="18"/>
        <v>var Bahrain, = [Bahrain,VER,HAM,VER,BOT,NOR,PER,LEC,RIC,SAI,TSU,STR,</v>
      </c>
      <c r="AC21" t="str">
        <f t="shared" si="18"/>
        <v>var Bahrain, = [Bahrain,VER,HAM,VER,BOT,NOR,PER,LEC,RIC,SAI,TSU,STR,BOT]</v>
      </c>
    </row>
    <row r="22" spans="1:29" x14ac:dyDescent="0.25">
      <c r="A22" t="s">
        <v>110</v>
      </c>
      <c r="B22" t="str">
        <f t="shared" ref="B22:P22" si="19">B4&amp;","</f>
        <v>Emilia Romagna,</v>
      </c>
      <c r="C22" t="str">
        <f t="shared" si="19"/>
        <v>44304,</v>
      </c>
      <c r="D22" t="str">
        <f t="shared" si="19"/>
        <v>63,</v>
      </c>
      <c r="E22" t="str">
        <f t="shared" si="19"/>
        <v>2:02:34.598,</v>
      </c>
      <c r="F22" t="str">
        <f t="shared" si="19"/>
        <v>HAM,</v>
      </c>
      <c r="G22" t="str">
        <f t="shared" si="19"/>
        <v>VER,</v>
      </c>
      <c r="H22" t="str">
        <f t="shared" si="19"/>
        <v>HAM,</v>
      </c>
      <c r="I22" t="str">
        <f t="shared" si="19"/>
        <v>NOR,</v>
      </c>
      <c r="J22" t="str">
        <f t="shared" si="19"/>
        <v>LEC,</v>
      </c>
      <c r="K22" t="str">
        <f t="shared" si="19"/>
        <v>SAI,</v>
      </c>
      <c r="L22" t="str">
        <f t="shared" si="19"/>
        <v>RIC,</v>
      </c>
      <c r="M22" t="str">
        <f t="shared" si="19"/>
        <v>GAS,</v>
      </c>
      <c r="N22" t="str">
        <f t="shared" si="19"/>
        <v>STR,</v>
      </c>
      <c r="O22" t="str">
        <f t="shared" si="19"/>
        <v>OCO,</v>
      </c>
      <c r="P22" t="str">
        <f t="shared" si="19"/>
        <v>ALO,</v>
      </c>
      <c r="Q22" t="str">
        <f t="shared" ref="Q22:Q27" si="20">Q4&amp;"]"</f>
        <v>HAM]</v>
      </c>
      <c r="R22" t="str">
        <f t="shared" ref="R22:R27" si="21">"var "&amp;B22&amp;" = "&amp;B22&amp;F22</f>
        <v>var Emilia Romagna, = Emilia Romagna,HAM,</v>
      </c>
      <c r="S22" t="str">
        <f t="shared" ref="S22:S27" si="22">R22&amp;G22</f>
        <v>var Emilia Romagna, = Emilia Romagna,HAM,VER,</v>
      </c>
      <c r="T22" t="str">
        <f t="shared" ref="T22:T27" si="23">S22&amp;H22</f>
        <v>var Emilia Romagna, = Emilia Romagna,HAM,VER,HAM,</v>
      </c>
      <c r="U22" t="str">
        <f t="shared" ref="U22:U27" si="24">T22&amp;I22</f>
        <v>var Emilia Romagna, = Emilia Romagna,HAM,VER,HAM,NOR,</v>
      </c>
      <c r="V22" t="str">
        <f t="shared" ref="V22:V27" si="25">U22&amp;J22</f>
        <v>var Emilia Romagna, = Emilia Romagna,HAM,VER,HAM,NOR,LEC,</v>
      </c>
      <c r="W22" t="str">
        <f t="shared" ref="W22:W27" si="26">V22&amp;K22</f>
        <v>var Emilia Romagna, = Emilia Romagna,HAM,VER,HAM,NOR,LEC,SAI,</v>
      </c>
      <c r="X22" t="str">
        <f t="shared" ref="X22:X27" si="27">W22&amp;L22</f>
        <v>var Emilia Romagna, = Emilia Romagna,HAM,VER,HAM,NOR,LEC,SAI,RIC,</v>
      </c>
      <c r="Y22" t="str">
        <f t="shared" ref="Y22:Y27" si="28">X22&amp;M22</f>
        <v>var Emilia Romagna, = Emilia Romagna,HAM,VER,HAM,NOR,LEC,SAI,RIC,GAS,</v>
      </c>
      <c r="Z22" t="str">
        <f t="shared" ref="Z22:Z27" si="29">Y22&amp;N22</f>
        <v>var Emilia Romagna, = Emilia Romagna,HAM,VER,HAM,NOR,LEC,SAI,RIC,GAS,STR,</v>
      </c>
      <c r="AA22" t="str">
        <f t="shared" ref="AA22:AA27" si="30">Z22&amp;O22</f>
        <v>var Emilia Romagna, = Emilia Romagna,HAM,VER,HAM,NOR,LEC,SAI,RIC,GAS,STR,OCO,</v>
      </c>
      <c r="AB22" t="str">
        <f t="shared" ref="AB22:AB27" si="31">AA22&amp;P22</f>
        <v>var Emilia Romagna, = Emilia Romagna,HAM,VER,HAM,NOR,LEC,SAI,RIC,GAS,STR,OCO,ALO,</v>
      </c>
      <c r="AC22" t="str">
        <f t="shared" ref="AC22:AC27" si="32">AB22&amp;Q22</f>
        <v>var Emilia Romagna, = Emilia Romagna,HAM,VER,HAM,NOR,LEC,SAI,RIC,GAS,STR,OCO,ALO,HAM]</v>
      </c>
    </row>
    <row r="23" spans="1:29" x14ac:dyDescent="0.25">
      <c r="A23" t="s">
        <v>110</v>
      </c>
      <c r="B23" t="str">
        <f t="shared" ref="B23:P23" si="33">B5&amp;","</f>
        <v>Portugal,</v>
      </c>
      <c r="C23" t="str">
        <f t="shared" si="33"/>
        <v>44318,</v>
      </c>
      <c r="D23" t="str">
        <f t="shared" si="33"/>
        <v>66,</v>
      </c>
      <c r="E23" t="str">
        <f t="shared" si="33"/>
        <v>1:34:31.421,</v>
      </c>
      <c r="F23" t="str">
        <f t="shared" si="33"/>
        <v>BOT,</v>
      </c>
      <c r="G23" t="str">
        <f t="shared" si="33"/>
        <v>HAM,</v>
      </c>
      <c r="H23" t="str">
        <f t="shared" si="33"/>
        <v>VER,</v>
      </c>
      <c r="I23" t="str">
        <f t="shared" si="33"/>
        <v>BOT,</v>
      </c>
      <c r="J23" t="str">
        <f t="shared" si="33"/>
        <v>PER,</v>
      </c>
      <c r="K23" t="str">
        <f t="shared" si="33"/>
        <v>NOR,</v>
      </c>
      <c r="L23" t="str">
        <f t="shared" si="33"/>
        <v>LEC,</v>
      </c>
      <c r="M23" t="str">
        <f t="shared" si="33"/>
        <v>OCO,</v>
      </c>
      <c r="N23" t="str">
        <f t="shared" si="33"/>
        <v>ALO,</v>
      </c>
      <c r="O23" t="str">
        <f t="shared" si="33"/>
        <v>RIC,</v>
      </c>
      <c r="P23" t="str">
        <f t="shared" si="33"/>
        <v>GAS,</v>
      </c>
      <c r="Q23" t="str">
        <f t="shared" si="20"/>
        <v>BOT]</v>
      </c>
      <c r="R23" t="str">
        <f t="shared" si="21"/>
        <v>var Portugal, = Portugal,BOT,</v>
      </c>
      <c r="S23" t="str">
        <f t="shared" si="22"/>
        <v>var Portugal, = Portugal,BOT,HAM,</v>
      </c>
      <c r="T23" t="str">
        <f t="shared" si="23"/>
        <v>var Portugal, = Portugal,BOT,HAM,VER,</v>
      </c>
      <c r="U23" t="str">
        <f t="shared" si="24"/>
        <v>var Portugal, = Portugal,BOT,HAM,VER,BOT,</v>
      </c>
      <c r="V23" t="str">
        <f t="shared" si="25"/>
        <v>var Portugal, = Portugal,BOT,HAM,VER,BOT,PER,</v>
      </c>
      <c r="W23" t="str">
        <f t="shared" si="26"/>
        <v>var Portugal, = Portugal,BOT,HAM,VER,BOT,PER,NOR,</v>
      </c>
      <c r="X23" t="str">
        <f t="shared" si="27"/>
        <v>var Portugal, = Portugal,BOT,HAM,VER,BOT,PER,NOR,LEC,</v>
      </c>
      <c r="Y23" t="str">
        <f t="shared" si="28"/>
        <v>var Portugal, = Portugal,BOT,HAM,VER,BOT,PER,NOR,LEC,OCO,</v>
      </c>
      <c r="Z23" t="str">
        <f t="shared" si="29"/>
        <v>var Portugal, = Portugal,BOT,HAM,VER,BOT,PER,NOR,LEC,OCO,ALO,</v>
      </c>
      <c r="AA23" t="str">
        <f t="shared" si="30"/>
        <v>var Portugal, = Portugal,BOT,HAM,VER,BOT,PER,NOR,LEC,OCO,ALO,RIC,</v>
      </c>
      <c r="AB23" t="str">
        <f t="shared" si="31"/>
        <v>var Portugal, = Portugal,BOT,HAM,VER,BOT,PER,NOR,LEC,OCO,ALO,RIC,GAS,</v>
      </c>
      <c r="AC23" t="str">
        <f t="shared" si="32"/>
        <v>var Portugal, = Portugal,BOT,HAM,VER,BOT,PER,NOR,LEC,OCO,ALO,RIC,GAS,BOT]</v>
      </c>
    </row>
    <row r="24" spans="1:29" x14ac:dyDescent="0.25">
      <c r="A24" t="s">
        <v>110</v>
      </c>
      <c r="B24" t="str">
        <f t="shared" ref="B24:P24" si="34">B6&amp;","</f>
        <v>Spain,</v>
      </c>
      <c r="C24" t="str">
        <f t="shared" si="34"/>
        <v>44325,</v>
      </c>
      <c r="D24" t="str">
        <f t="shared" si="34"/>
        <v>66,</v>
      </c>
      <c r="E24" t="str">
        <f t="shared" si="34"/>
        <v>1:33:07.680,</v>
      </c>
      <c r="F24" t="str">
        <f t="shared" si="34"/>
        <v>HAM,</v>
      </c>
      <c r="G24" t="str">
        <f t="shared" si="34"/>
        <v>HAM,</v>
      </c>
      <c r="H24" t="str">
        <f t="shared" si="34"/>
        <v>VER,</v>
      </c>
      <c r="I24" t="str">
        <f t="shared" si="34"/>
        <v>BOT,</v>
      </c>
      <c r="J24" t="str">
        <f t="shared" si="34"/>
        <v>LEC,</v>
      </c>
      <c r="K24" t="str">
        <f t="shared" si="34"/>
        <v>PER,</v>
      </c>
      <c r="L24" t="str">
        <f t="shared" si="34"/>
        <v>RIC,</v>
      </c>
      <c r="M24" t="str">
        <f t="shared" si="34"/>
        <v>SAI,</v>
      </c>
      <c r="N24" t="str">
        <f t="shared" si="34"/>
        <v>NOR,</v>
      </c>
      <c r="O24" t="str">
        <f t="shared" si="34"/>
        <v>OCO,</v>
      </c>
      <c r="P24" t="str">
        <f t="shared" si="34"/>
        <v>GAS,</v>
      </c>
      <c r="Q24" t="str">
        <f t="shared" si="20"/>
        <v>VER]</v>
      </c>
      <c r="R24" t="str">
        <f t="shared" si="21"/>
        <v>var Spain, = Spain,HAM,</v>
      </c>
      <c r="S24" t="str">
        <f t="shared" si="22"/>
        <v>var Spain, = Spain,HAM,HAM,</v>
      </c>
      <c r="T24" t="str">
        <f t="shared" si="23"/>
        <v>var Spain, = Spain,HAM,HAM,VER,</v>
      </c>
      <c r="U24" t="str">
        <f t="shared" si="24"/>
        <v>var Spain, = Spain,HAM,HAM,VER,BOT,</v>
      </c>
      <c r="V24" t="str">
        <f t="shared" si="25"/>
        <v>var Spain, = Spain,HAM,HAM,VER,BOT,LEC,</v>
      </c>
      <c r="W24" t="str">
        <f t="shared" si="26"/>
        <v>var Spain, = Spain,HAM,HAM,VER,BOT,LEC,PER,</v>
      </c>
      <c r="X24" t="str">
        <f t="shared" si="27"/>
        <v>var Spain, = Spain,HAM,HAM,VER,BOT,LEC,PER,RIC,</v>
      </c>
      <c r="Y24" t="str">
        <f t="shared" si="28"/>
        <v>var Spain, = Spain,HAM,HAM,VER,BOT,LEC,PER,RIC,SAI,</v>
      </c>
      <c r="Z24" t="str">
        <f t="shared" si="29"/>
        <v>var Spain, = Spain,HAM,HAM,VER,BOT,LEC,PER,RIC,SAI,NOR,</v>
      </c>
      <c r="AA24" t="str">
        <f t="shared" si="30"/>
        <v>var Spain, = Spain,HAM,HAM,VER,BOT,LEC,PER,RIC,SAI,NOR,OCO,</v>
      </c>
      <c r="AB24" t="str">
        <f t="shared" si="31"/>
        <v>var Spain, = Spain,HAM,HAM,VER,BOT,LEC,PER,RIC,SAI,NOR,OCO,GAS,</v>
      </c>
      <c r="AC24" t="str">
        <f t="shared" si="32"/>
        <v>var Spain, = Spain,HAM,HAM,VER,BOT,LEC,PER,RIC,SAI,NOR,OCO,GAS,VER]</v>
      </c>
    </row>
    <row r="25" spans="1:29" x14ac:dyDescent="0.25">
      <c r="A25" t="s">
        <v>110</v>
      </c>
      <c r="B25" t="str">
        <f t="shared" ref="B25:P25" si="35">B7&amp;","</f>
        <v>Monaco,</v>
      </c>
      <c r="C25" t="str">
        <f t="shared" si="35"/>
        <v>44339,</v>
      </c>
      <c r="D25" t="str">
        <f t="shared" si="35"/>
        <v>78,</v>
      </c>
      <c r="E25" t="str">
        <f t="shared" si="35"/>
        <v>1:38:56.820,</v>
      </c>
      <c r="F25" t="str">
        <f t="shared" si="35"/>
        <v>LEC,</v>
      </c>
      <c r="G25" t="str">
        <f t="shared" si="35"/>
        <v>VER,</v>
      </c>
      <c r="H25" t="str">
        <f t="shared" si="35"/>
        <v>SAI,</v>
      </c>
      <c r="I25" t="str">
        <f t="shared" si="35"/>
        <v>NOR,</v>
      </c>
      <c r="J25" t="str">
        <f t="shared" si="35"/>
        <v>PER,</v>
      </c>
      <c r="K25" t="str">
        <f t="shared" si="35"/>
        <v>VET,</v>
      </c>
      <c r="L25" t="str">
        <f t="shared" si="35"/>
        <v>GAS,</v>
      </c>
      <c r="M25" t="str">
        <f t="shared" si="35"/>
        <v>HAM,</v>
      </c>
      <c r="N25" t="str">
        <f t="shared" si="35"/>
        <v>STR,</v>
      </c>
      <c r="O25" t="str">
        <f t="shared" si="35"/>
        <v>OCO,</v>
      </c>
      <c r="P25" t="str">
        <f t="shared" si="35"/>
        <v>GIO,</v>
      </c>
      <c r="Q25" t="str">
        <f t="shared" si="20"/>
        <v>HAM]</v>
      </c>
      <c r="R25" t="str">
        <f t="shared" si="21"/>
        <v>var Monaco, = Monaco,LEC,</v>
      </c>
      <c r="S25" t="str">
        <f t="shared" si="22"/>
        <v>var Monaco, = Monaco,LEC,VER,</v>
      </c>
      <c r="T25" t="str">
        <f t="shared" si="23"/>
        <v>var Monaco, = Monaco,LEC,VER,SAI,</v>
      </c>
      <c r="U25" t="str">
        <f t="shared" si="24"/>
        <v>var Monaco, = Monaco,LEC,VER,SAI,NOR,</v>
      </c>
      <c r="V25" t="str">
        <f t="shared" si="25"/>
        <v>var Monaco, = Monaco,LEC,VER,SAI,NOR,PER,</v>
      </c>
      <c r="W25" t="str">
        <f t="shared" si="26"/>
        <v>var Monaco, = Monaco,LEC,VER,SAI,NOR,PER,VET,</v>
      </c>
      <c r="X25" t="str">
        <f t="shared" si="27"/>
        <v>var Monaco, = Monaco,LEC,VER,SAI,NOR,PER,VET,GAS,</v>
      </c>
      <c r="Y25" t="str">
        <f t="shared" si="28"/>
        <v>var Monaco, = Monaco,LEC,VER,SAI,NOR,PER,VET,GAS,HAM,</v>
      </c>
      <c r="Z25" t="str">
        <f t="shared" si="29"/>
        <v>var Monaco, = Monaco,LEC,VER,SAI,NOR,PER,VET,GAS,HAM,STR,</v>
      </c>
      <c r="AA25" t="str">
        <f t="shared" si="30"/>
        <v>var Monaco, = Monaco,LEC,VER,SAI,NOR,PER,VET,GAS,HAM,STR,OCO,</v>
      </c>
      <c r="AB25" t="str">
        <f t="shared" si="31"/>
        <v>var Monaco, = Monaco,LEC,VER,SAI,NOR,PER,VET,GAS,HAM,STR,OCO,GIO,</v>
      </c>
      <c r="AC25" t="str">
        <f t="shared" si="32"/>
        <v>var Monaco, = Monaco,LEC,VER,SAI,NOR,PER,VET,GAS,HAM,STR,OCO,GIO,HAM]</v>
      </c>
    </row>
    <row r="26" spans="1:29" x14ac:dyDescent="0.25">
      <c r="A26" t="s">
        <v>110</v>
      </c>
      <c r="B26" t="str">
        <f t="shared" ref="B26:P26" si="36">B8&amp;","</f>
        <v>Azerbaijan,</v>
      </c>
      <c r="C26" t="str">
        <f t="shared" si="36"/>
        <v>44353,</v>
      </c>
      <c r="D26" t="str">
        <f t="shared" si="36"/>
        <v>51,</v>
      </c>
      <c r="E26" t="str">
        <f t="shared" si="36"/>
        <v>2:13:36.410,</v>
      </c>
      <c r="F26" t="str">
        <f t="shared" si="36"/>
        <v>LEC,</v>
      </c>
      <c r="G26" t="str">
        <f t="shared" si="36"/>
        <v>PER,</v>
      </c>
      <c r="H26" t="str">
        <f t="shared" si="36"/>
        <v>VET,</v>
      </c>
      <c r="I26" t="str">
        <f t="shared" si="36"/>
        <v>GAS,</v>
      </c>
      <c r="J26" t="str">
        <f t="shared" si="36"/>
        <v>LEC,</v>
      </c>
      <c r="K26" t="str">
        <f t="shared" si="36"/>
        <v>NOR,</v>
      </c>
      <c r="L26" t="str">
        <f t="shared" si="36"/>
        <v>ALO,</v>
      </c>
      <c r="M26" t="str">
        <f t="shared" si="36"/>
        <v>TSU,</v>
      </c>
      <c r="N26" t="str">
        <f t="shared" si="36"/>
        <v>SAI,</v>
      </c>
      <c r="O26" t="str">
        <f t="shared" si="36"/>
        <v>RIC,</v>
      </c>
      <c r="P26" t="str">
        <f t="shared" si="36"/>
        <v>RAI,</v>
      </c>
      <c r="Q26" t="str">
        <f t="shared" si="20"/>
        <v>-]</v>
      </c>
      <c r="R26" t="str">
        <f t="shared" si="21"/>
        <v>var Azerbaijan, = Azerbaijan,LEC,</v>
      </c>
      <c r="S26" t="str">
        <f t="shared" si="22"/>
        <v>var Azerbaijan, = Azerbaijan,LEC,PER,</v>
      </c>
      <c r="T26" t="str">
        <f t="shared" si="23"/>
        <v>var Azerbaijan, = Azerbaijan,LEC,PER,VET,</v>
      </c>
      <c r="U26" t="str">
        <f t="shared" si="24"/>
        <v>var Azerbaijan, = Azerbaijan,LEC,PER,VET,GAS,</v>
      </c>
      <c r="V26" t="str">
        <f t="shared" si="25"/>
        <v>var Azerbaijan, = Azerbaijan,LEC,PER,VET,GAS,LEC,</v>
      </c>
      <c r="W26" t="str">
        <f t="shared" si="26"/>
        <v>var Azerbaijan, = Azerbaijan,LEC,PER,VET,GAS,LEC,NOR,</v>
      </c>
      <c r="X26" t="str">
        <f t="shared" si="27"/>
        <v>var Azerbaijan, = Azerbaijan,LEC,PER,VET,GAS,LEC,NOR,ALO,</v>
      </c>
      <c r="Y26" t="str">
        <f t="shared" si="28"/>
        <v>var Azerbaijan, = Azerbaijan,LEC,PER,VET,GAS,LEC,NOR,ALO,TSU,</v>
      </c>
      <c r="Z26" t="str">
        <f t="shared" si="29"/>
        <v>var Azerbaijan, = Azerbaijan,LEC,PER,VET,GAS,LEC,NOR,ALO,TSU,SAI,</v>
      </c>
      <c r="AA26" t="str">
        <f t="shared" si="30"/>
        <v>var Azerbaijan, = Azerbaijan,LEC,PER,VET,GAS,LEC,NOR,ALO,TSU,SAI,RIC,</v>
      </c>
      <c r="AB26" t="str">
        <f t="shared" si="31"/>
        <v>var Azerbaijan, = Azerbaijan,LEC,PER,VET,GAS,LEC,NOR,ALO,TSU,SAI,RIC,RAI,</v>
      </c>
      <c r="AC26" t="str">
        <f t="shared" si="32"/>
        <v>var Azerbaijan, = Azerbaijan,LEC,PER,VET,GAS,LEC,NOR,ALO,TSU,SAI,RIC,RAI,-]</v>
      </c>
    </row>
    <row r="27" spans="1:29" x14ac:dyDescent="0.25">
      <c r="A27" t="s">
        <v>110</v>
      </c>
      <c r="B27" t="str">
        <f t="shared" ref="B27:P27" si="37">B9&amp;","</f>
        <v>France,</v>
      </c>
      <c r="C27" t="str">
        <f t="shared" si="37"/>
        <v>44367,</v>
      </c>
      <c r="D27" t="str">
        <f t="shared" si="37"/>
        <v>53,</v>
      </c>
      <c r="E27" t="str">
        <f t="shared" si="37"/>
        <v>1:27:25.770,</v>
      </c>
      <c r="F27" t="str">
        <f t="shared" si="37"/>
        <v>VER,</v>
      </c>
      <c r="G27" t="str">
        <f t="shared" si="37"/>
        <v>VER,</v>
      </c>
      <c r="H27" t="str">
        <f t="shared" si="37"/>
        <v>HAM,</v>
      </c>
      <c r="I27" t="str">
        <f t="shared" si="37"/>
        <v>PER,</v>
      </c>
      <c r="J27" t="str">
        <f t="shared" si="37"/>
        <v>BOT,</v>
      </c>
      <c r="K27" t="str">
        <f t="shared" si="37"/>
        <v>NOR,</v>
      </c>
      <c r="L27" t="str">
        <f t="shared" si="37"/>
        <v>RIC,</v>
      </c>
      <c r="M27" t="str">
        <f t="shared" si="37"/>
        <v>GAS,</v>
      </c>
      <c r="N27" t="str">
        <f t="shared" si="37"/>
        <v>ALO,</v>
      </c>
      <c r="O27" t="str">
        <f t="shared" si="37"/>
        <v>VET,</v>
      </c>
      <c r="P27" t="str">
        <f t="shared" si="37"/>
        <v>STR,</v>
      </c>
      <c r="Q27" t="str">
        <f t="shared" si="20"/>
        <v>VER]</v>
      </c>
      <c r="R27" t="str">
        <f t="shared" si="21"/>
        <v>var France, = France,VER,</v>
      </c>
      <c r="S27" t="str">
        <f t="shared" si="22"/>
        <v>var France, = France,VER,VER,</v>
      </c>
      <c r="T27" t="str">
        <f t="shared" si="23"/>
        <v>var France, = France,VER,VER,HAM,</v>
      </c>
      <c r="U27" t="str">
        <f t="shared" si="24"/>
        <v>var France, = France,VER,VER,HAM,PER,</v>
      </c>
      <c r="V27" t="str">
        <f t="shared" si="25"/>
        <v>var France, = France,VER,VER,HAM,PER,BOT,</v>
      </c>
      <c r="W27" t="str">
        <f t="shared" si="26"/>
        <v>var France, = France,VER,VER,HAM,PER,BOT,NOR,</v>
      </c>
      <c r="X27" t="str">
        <f t="shared" si="27"/>
        <v>var France, = France,VER,VER,HAM,PER,BOT,NOR,RIC,</v>
      </c>
      <c r="Y27" t="str">
        <f t="shared" si="28"/>
        <v>var France, = France,VER,VER,HAM,PER,BOT,NOR,RIC,GAS,</v>
      </c>
      <c r="Z27" t="str">
        <f t="shared" si="29"/>
        <v>var France, = France,VER,VER,HAM,PER,BOT,NOR,RIC,GAS,ALO,</v>
      </c>
      <c r="AA27" t="str">
        <f t="shared" si="30"/>
        <v>var France, = France,VER,VER,HAM,PER,BOT,NOR,RIC,GAS,ALO,VET,</v>
      </c>
      <c r="AB27" t="str">
        <f t="shared" si="31"/>
        <v>var France, = France,VER,VER,HAM,PER,BOT,NOR,RIC,GAS,ALO,VET,STR,</v>
      </c>
      <c r="AC27" t="str">
        <f t="shared" si="32"/>
        <v>var France, = France,VER,VER,HAM,PER,BOT,NOR,RIC,GAS,ALO,VET,STR,VER]</v>
      </c>
    </row>
  </sheetData>
  <hyperlinks>
    <hyperlink ref="B3" r:id="rId1" display="https://www.formula1.com/en/results.html/2021/races/1064/bahrain/race-result.html" xr:uid="{AAF3A8FB-DFDA-4422-A9BE-EAE70A49D6D7}"/>
    <hyperlink ref="B4" r:id="rId2" display="https://www.formula1.com/en/results.html/2021/races/1065/italy/race-result.html" xr:uid="{F4A6B34B-569A-4209-85F2-D206249C5A2F}"/>
    <hyperlink ref="B5" r:id="rId3" display="https://www.formula1.com/en/results.html/2021/races/1066/portugal/race-result.html" xr:uid="{13B1C30A-E3C2-4CE5-8E1B-20D3252FE5FC}"/>
    <hyperlink ref="B6" r:id="rId4" display="https://www.formula1.com/en/results.html/2021/races/1086/spain/race-result.html" xr:uid="{E670EC89-8B4F-47A5-8430-7B224F30C43C}"/>
    <hyperlink ref="B7" r:id="rId5" display="https://www.formula1.com/en/results.html/2021/races/1067/monaco/race-result.html" xr:uid="{08FD5F0D-F640-424D-BCCF-CC86821268B1}"/>
    <hyperlink ref="B8" r:id="rId6" display="https://www.formula1.com/en/results.html/2021/races/1068/azerbaijan/race-result.html" xr:uid="{2A26BA5E-ABC3-4D6E-BC72-996CCE226307}"/>
    <hyperlink ref="B9" r:id="rId7" display="https://www.formula1.com/en/results.html/2021/races/1070/france/race-result.html" xr:uid="{B39D7163-CB79-4D32-8D4C-C51E1FEB4DC6}"/>
  </hyperlinks>
  <pageMargins left="0.511811024" right="0.511811024" top="0.78740157499999996" bottom="0.78740157499999996" header="0.31496062000000002" footer="0.31496062000000002"/>
  <pageSetup paperSize="9" orientation="portrait"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Pilotos</vt:lpstr>
      <vt:lpstr>Planilha1</vt:lpstr>
      <vt:lpstr>Corridas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César</dc:creator>
  <cp:lastModifiedBy>Paulo César</cp:lastModifiedBy>
  <cp:lastPrinted>2021-06-21T22:07:22Z</cp:lastPrinted>
  <dcterms:created xsi:type="dcterms:W3CDTF">2015-06-05T18:17:20Z</dcterms:created>
  <dcterms:modified xsi:type="dcterms:W3CDTF">2021-06-23T00:05:49Z</dcterms:modified>
</cp:coreProperties>
</file>